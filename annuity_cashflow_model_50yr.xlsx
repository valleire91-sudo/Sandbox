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shflow Schedule" sheetId="2" state="visible" r:id="rId2"/>
    <sheet name="Annual Summary" sheetId="3" state="visible" r:id="rId3"/>
    <sheet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x&quot;"/>
    <numFmt numFmtId="166" formatCode="0.0000"/>
    <numFmt numFmtId="167" formatCode="$#,##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C2833"/>
      <sz val="10"/>
    </font>
    <font>
      <name val="Calibri"/>
      <b val="1"/>
      <color rgb="001B3A6B"/>
      <sz val="10"/>
    </font>
    <font>
      <name val="Calibri"/>
      <i val="1"/>
      <color rgb="007F8C8D"/>
      <sz val="9"/>
    </font>
    <font>
      <name val="Calibri"/>
      <b val="1"/>
      <color rgb="001C2833"/>
      <sz val="10"/>
    </font>
    <font>
      <name val="Calibri"/>
      <color rgb="007F8C8D"/>
      <sz val="9"/>
    </font>
    <font>
      <name val="Calibri"/>
      <b val="1"/>
      <color rgb="00FFFFFF"/>
      <sz val="14"/>
    </font>
    <font>
      <name val="Calibri"/>
      <b val="1"/>
      <color rgb="001B3A6B"/>
      <sz val="9"/>
    </font>
    <font>
      <name val="Calibri"/>
      <color rgb="001C2833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A4"/>
      </patternFill>
    </fill>
    <fill>
      <patternFill patternType="solid">
        <fgColor rgb="00F2F4F5"/>
      </patternFill>
    </fill>
    <fill>
      <patternFill patternType="solid">
        <fgColor rgb="00D6E4F0"/>
      </patternFill>
    </fill>
    <fill>
      <patternFill patternType="solid">
        <fgColor rgb="001ABC9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bottom style="thin">
        <color rgb="00BDC3C7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1" fontId="7" fillId="5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65" fontId="2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1" fontId="10" fillId="5" borderId="2" applyAlignment="1" pivotButton="0" quotePrefix="0" xfId="0">
      <alignment horizontal="center" vertical="center"/>
    </xf>
    <xf numFmtId="164" fontId="10" fillId="5" borderId="2" applyAlignment="1" pivotButton="0" quotePrefix="0" xfId="0">
      <alignment horizontal="center" vertical="center"/>
    </xf>
    <xf numFmtId="166" fontId="10" fillId="5" borderId="2" applyAlignment="1" pivotButton="0" quotePrefix="0" xfId="0">
      <alignment horizontal="center" vertical="center"/>
    </xf>
    <xf numFmtId="1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4" fontId="2" fillId="2" borderId="4" applyAlignment="1" pivotButton="0" quotePrefix="0" xfId="0">
      <alignment horizontal="center" vertical="center"/>
    </xf>
    <xf numFmtId="166" fontId="2" fillId="2" borderId="4" applyAlignment="1" pivotButton="0" quotePrefix="0" xfId="0">
      <alignment horizontal="center" vertical="center"/>
    </xf>
    <xf numFmtId="1" fontId="11" fillId="7" borderId="1" applyAlignment="1" pivotButton="0" quotePrefix="0" xfId="0">
      <alignment horizontal="center" vertical="center"/>
    </xf>
    <xf numFmtId="167" fontId="11" fillId="7" borderId="1" applyAlignment="1" pivotButton="0" quotePrefix="0" xfId="0">
      <alignment horizontal="center" vertical="center"/>
    </xf>
    <xf numFmtId="1" fontId="11" fillId="4" borderId="1" applyAlignment="1" pivotButton="0" quotePrefix="0" xfId="0">
      <alignment horizontal="center" vertical="center"/>
    </xf>
    <xf numFmtId="167" fontId="11" fillId="4" borderId="1" applyAlignment="1" pivotButton="0" quotePrefix="0" xfId="0">
      <alignment horizontal="center" vertical="center"/>
    </xf>
    <xf numFmtId="167" fontId="2" fillId="2" borderId="4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Interest vs Principal  (50-Year Annuity)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'Annual Summary'!D2</f>
            </strRef>
          </tx>
          <spPr>
            <a:ln>
              <a:prstDash val="solid"/>
            </a:ln>
          </spPr>
          <cat>
            <numRef>
              <f>'Annual Summary'!$A$3:$A$52</f>
            </numRef>
          </cat>
          <val>
            <numRef>
              <f>'Annual Summary'!$D$3:$D$52</f>
            </numRef>
          </val>
        </ser>
        <ser>
          <idx val="1"/>
          <order val="1"/>
          <tx>
            <strRef>
              <f>'Annual Summary'!E2</f>
            </strRef>
          </tx>
          <spPr>
            <a:ln>
              <a:prstDash val="solid"/>
            </a:ln>
          </spPr>
          <cat>
            <numRef>
              <f>'Annual Summary'!$A$3:$A$52</f>
            </numRef>
          </cat>
          <val>
            <numRef>
              <f>'Annual Summary'!$E$3:$E$52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Ending Balance Rundown  (50-Year Annuity)</a:t>
            </a:r>
          </a:p>
        </rich>
      </tx>
    </title>
    <plotArea>
      <lineChart>
        <grouping val="standard"/>
        <ser>
          <idx val="0"/>
          <order val="0"/>
          <tx>
            <strRef>
              <f>'Annual Summary'!F2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Summary'!$A$3:$A$52</f>
            </numRef>
          </cat>
          <val>
            <numRef>
              <f>'Annual Summary'!$F$3:$F$52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55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zoomScale="95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" customWidth="1" min="3" max="3"/>
    <col width="18" customWidth="1" min="4" max="4"/>
    <col width="22" customWidth="1" min="5" max="5"/>
    <col width="3" customWidth="1" min="6" max="6"/>
    <col width="28" customWidth="1" min="7" max="7"/>
    <col width="3" customWidth="1" min="8" max="8"/>
    <col width="3" customWidth="1" min="9" max="9"/>
    <col width="18" customWidth="1" min="10" max="10"/>
    <col width="2" customWidth="1" min="11" max="11"/>
  </cols>
  <sheetData>
    <row r="1" ht="6" customHeight="1"/>
    <row r="2" ht="40" customHeight="1">
      <c r="B2" s="1" t="inlineStr">
        <is>
          <t>50-YEAR ANNUITY  |  CASHFLOW MODEL</t>
        </is>
      </c>
    </row>
    <row r="3" ht="20" customHeight="1">
      <c r="B3" s="2" t="inlineStr">
        <is>
          <t>Model Date: 2026-02-19     Annuity Type: Ordinary Annuity (End)</t>
        </is>
      </c>
    </row>
    <row r="4" ht="18" customHeight="1"/>
    <row r="5" ht="22" customHeight="1">
      <c r="B5" s="3" t="inlineStr">
        <is>
          <t xml:space="preserve">  INPUT PARAMETERS</t>
        </is>
      </c>
      <c r="F5" s="4" t="n"/>
      <c r="G5" s="3" t="inlineStr">
        <is>
          <t xml:space="preserve">  MODEL SUMMARY</t>
        </is>
      </c>
    </row>
    <row r="6" ht="18" customHeight="1">
      <c r="B6" s="5" t="inlineStr">
        <is>
          <t>Present Value (Loan / Investment)</t>
        </is>
      </c>
      <c r="C6" s="6" t="n"/>
      <c r="D6" s="7" t="n">
        <v>1000000</v>
      </c>
      <c r="E6" s="8" t="inlineStr">
        <is>
          <t>Initial lump-sum amount</t>
        </is>
      </c>
      <c r="F6" s="4" t="n"/>
      <c r="G6" s="9" t="inlineStr">
        <is>
          <t>First Payment Amount</t>
        </is>
      </c>
      <c r="H6" s="10" t="n"/>
      <c r="I6" s="10" t="n"/>
      <c r="J6" s="11" t="n">
        <v>63444.28637386619</v>
      </c>
    </row>
    <row r="7" ht="18" customHeight="1">
      <c r="B7" s="12" t="inlineStr">
        <is>
          <t>Annual Interest / Discount Rate</t>
        </is>
      </c>
      <c r="C7" s="13" t="n"/>
      <c r="D7" s="14" t="n">
        <v>0.06</v>
      </c>
      <c r="E7" s="15" t="inlineStr">
        <is>
          <t>Nominal, per annum</t>
        </is>
      </c>
      <c r="F7" s="4" t="n"/>
      <c r="G7" s="9" t="inlineStr">
        <is>
          <t>Total Number of Payments</t>
        </is>
      </c>
      <c r="H7" s="10" t="n"/>
      <c r="I7" s="10" t="n"/>
      <c r="J7" s="16" t="n">
        <v>50</v>
      </c>
    </row>
    <row r="8" ht="18" customHeight="1">
      <c r="B8" s="5" t="inlineStr">
        <is>
          <t>Payment Frequency (per year)</t>
        </is>
      </c>
      <c r="C8" s="6" t="n"/>
      <c r="D8" s="17" t="n">
        <v>1</v>
      </c>
      <c r="E8" s="8" t="inlineStr">
        <is>
          <t>1=Annual  4=Quarterly  12=Monthly</t>
        </is>
      </c>
      <c r="F8" s="4" t="n"/>
      <c r="G8" s="9" t="inlineStr">
        <is>
          <t>Total Payments (undiscounted)</t>
        </is>
      </c>
      <c r="H8" s="10" t="n"/>
      <c r="I8" s="10" t="n"/>
      <c r="J8" s="11" t="n">
        <v>3172214.318693311</v>
      </c>
    </row>
    <row r="9" ht="18" customHeight="1">
      <c r="B9" s="12" t="inlineStr">
        <is>
          <t>Term (years)</t>
        </is>
      </c>
      <c r="C9" s="13" t="n"/>
      <c r="D9" s="18" t="n">
        <v>50</v>
      </c>
      <c r="E9" s="15" t="inlineStr">
        <is>
          <t>Fixed 50-year horizon</t>
        </is>
      </c>
      <c r="F9" s="4" t="n"/>
      <c r="G9" s="9" t="inlineStr">
        <is>
          <t>Total Interest Paid</t>
        </is>
      </c>
      <c r="H9" s="10" t="n"/>
      <c r="I9" s="10" t="n"/>
      <c r="J9" s="11" t="n">
        <v>2172214.318693312</v>
      </c>
    </row>
    <row r="10" ht="18" customHeight="1">
      <c r="B10" s="5" t="inlineStr">
        <is>
          <t>Annuity Type</t>
        </is>
      </c>
      <c r="C10" s="6" t="n"/>
      <c r="D10" s="19" t="inlineStr">
        <is>
          <t>Ordinary (End)</t>
        </is>
      </c>
      <c r="E10" s="8" t="inlineStr">
        <is>
          <t>Timing of each payment</t>
        </is>
      </c>
      <c r="F10" s="4" t="n"/>
      <c r="G10" s="9" t="inlineStr">
        <is>
          <t>Total Principal Repaid</t>
        </is>
      </c>
      <c r="H10" s="10" t="n"/>
      <c r="I10" s="10" t="n"/>
      <c r="J10" s="11" t="n">
        <v>999999.9999999974</v>
      </c>
    </row>
    <row r="11" ht="18" customHeight="1">
      <c r="B11" s="12" t="inlineStr">
        <is>
          <t>Growth Rate (escalation)</t>
        </is>
      </c>
      <c r="C11" s="13" t="n"/>
      <c r="D11" s="14" t="n">
        <v>0</v>
      </c>
      <c r="E11" s="15" t="inlineStr">
        <is>
          <t>Annual payment step-up; 0 = level annuity</t>
        </is>
      </c>
      <c r="F11" s="4" t="n"/>
      <c r="G11" s="9" t="inlineStr">
        <is>
          <t>NPV of All Payments</t>
        </is>
      </c>
      <c r="H11" s="10" t="n"/>
      <c r="I11" s="10" t="n"/>
      <c r="J11" s="11" t="n">
        <v>999999.9999999988</v>
      </c>
    </row>
    <row r="12" ht="18" customHeight="1">
      <c r="F12" s="4" t="n"/>
      <c r="G12" s="9" t="inlineStr">
        <is>
          <t>Interest / Principal Ratio</t>
        </is>
      </c>
      <c r="H12" s="10" t="n"/>
      <c r="I12" s="10" t="n"/>
      <c r="J12" s="20" t="n">
        <v>2.172214318693317</v>
      </c>
    </row>
    <row r="13" ht="18" customHeight="1">
      <c r="F13" s="4" t="n"/>
      <c r="G13" s="21" t="inlineStr">
        <is>
          <t>Payment Multiplier (x PV)</t>
        </is>
      </c>
      <c r="H13" s="22" t="n"/>
      <c r="I13" s="22" t="n"/>
      <c r="J13" s="23" t="n">
        <v>3.172214318693312</v>
      </c>
    </row>
    <row r="14" ht="18" customHeight="1">
      <c r="F14" s="4" t="n"/>
    </row>
    <row r="15" ht="18" customHeight="1"/>
    <row r="16" ht="18" customHeight="1">
      <c r="B16" s="24" t="inlineStr">
        <is>
          <t>Note: Cashflow schedule and sensitivity analysis are on separate tabs.  All figures in USD.  Interest compounded at payment frequency.</t>
        </is>
      </c>
    </row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5">
    <mergeCell ref="B2:K2"/>
    <mergeCell ref="B5:E5"/>
    <mergeCell ref="B16:K16"/>
    <mergeCell ref="G5:J5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6" customWidth="1" min="9" max="9"/>
    <col width="20" customWidth="1" min="10" max="10"/>
    <col width="20" customWidth="1" min="11" max="11"/>
  </cols>
  <sheetData>
    <row r="1" ht="30" customHeight="1">
      <c r="A1" s="25" t="inlineStr">
        <is>
          <t>50-YEAR ANNUITY  —  CASHFLOW SCHEDULE</t>
        </is>
      </c>
    </row>
    <row r="2" ht="20" customHeight="1">
      <c r="A2" s="2" t="inlineStr">
        <is>
          <t>PV: $1,000,000   |   Rate: 6.00%   |   Frequency: Annual   |   Growth: 0.00%   |   Type: Ordinary</t>
        </is>
      </c>
    </row>
    <row r="3" ht="30" customHeight="1">
      <c r="A3" s="26" t="inlineStr">
        <is>
          <t>Period</t>
        </is>
      </c>
      <c r="B3" s="26" t="inlineStr">
        <is>
          <t>Year</t>
        </is>
      </c>
      <c r="C3" s="26" t="inlineStr">
        <is>
          <t>Beginning Balance</t>
        </is>
      </c>
      <c r="D3" s="26" t="inlineStr">
        <is>
          <t>Payment</t>
        </is>
      </c>
      <c r="E3" s="26" t="inlineStr">
        <is>
          <t>Interest</t>
        </is>
      </c>
      <c r="F3" s="26" t="inlineStr">
        <is>
          <t>Principal</t>
        </is>
      </c>
      <c r="G3" s="26" t="inlineStr">
        <is>
          <t>Ending Balance</t>
        </is>
      </c>
      <c r="H3" s="26" t="inlineStr">
        <is>
          <t>PV Factor</t>
        </is>
      </c>
      <c r="I3" s="26" t="inlineStr">
        <is>
          <t>PV of Payment</t>
        </is>
      </c>
      <c r="J3" s="26" t="inlineStr">
        <is>
          <t>Cumulative Payments</t>
        </is>
      </c>
      <c r="K3" s="26" t="inlineStr">
        <is>
          <t>Cumulative Interest</t>
        </is>
      </c>
    </row>
    <row r="4" ht="16" customHeight="1">
      <c r="A4" s="27" t="n">
        <v>1</v>
      </c>
      <c r="B4" s="27" t="n">
        <v>1</v>
      </c>
      <c r="C4" s="28" t="n">
        <v>1000000</v>
      </c>
      <c r="D4" s="28" t="n">
        <v>63444.28637386619</v>
      </c>
      <c r="E4" s="28" t="n">
        <v>60000</v>
      </c>
      <c r="F4" s="28" t="n">
        <v>3444.286373866191</v>
      </c>
      <c r="G4" s="28" t="n">
        <v>996555.7136261339</v>
      </c>
      <c r="H4" s="29" t="n">
        <v>0.9433962264150942</v>
      </c>
      <c r="I4" s="28" t="n">
        <v>59853.10035270395</v>
      </c>
      <c r="J4" s="28" t="n">
        <v>63444.28637386619</v>
      </c>
      <c r="K4" s="28" t="n">
        <v>60000</v>
      </c>
    </row>
    <row r="5" ht="16" customHeight="1">
      <c r="A5" s="27" t="n">
        <v>2</v>
      </c>
      <c r="B5" s="27" t="n">
        <v>2</v>
      </c>
      <c r="C5" s="28" t="n">
        <v>996555.7136261339</v>
      </c>
      <c r="D5" s="28" t="n">
        <v>63444.28637386619</v>
      </c>
      <c r="E5" s="28" t="n">
        <v>59793.34281756803</v>
      </c>
      <c r="F5" s="28" t="n">
        <v>3650.94355629816</v>
      </c>
      <c r="G5" s="28" t="n">
        <v>992904.7700698357</v>
      </c>
      <c r="H5" s="29" t="n">
        <v>0.8899964400142398</v>
      </c>
      <c r="I5" s="28" t="n">
        <v>56465.18901198485</v>
      </c>
      <c r="J5" s="28" t="n">
        <v>126888.5727477324</v>
      </c>
      <c r="K5" s="28" t="n">
        <v>119793.342817568</v>
      </c>
    </row>
    <row r="6" ht="16" customHeight="1">
      <c r="A6" s="27" t="n">
        <v>3</v>
      </c>
      <c r="B6" s="27" t="n">
        <v>3</v>
      </c>
      <c r="C6" s="28" t="n">
        <v>992904.7700698357</v>
      </c>
      <c r="D6" s="28" t="n">
        <v>63444.28637386619</v>
      </c>
      <c r="E6" s="28" t="n">
        <v>59574.28620419014</v>
      </c>
      <c r="F6" s="28" t="n">
        <v>3870.000169676052</v>
      </c>
      <c r="G6" s="28" t="n">
        <v>989034.7699001597</v>
      </c>
      <c r="H6" s="29" t="n">
        <v>0.8396192830323017</v>
      </c>
      <c r="I6" s="28" t="n">
        <v>53269.04623772156</v>
      </c>
      <c r="J6" s="28" t="n">
        <v>190332.8591215986</v>
      </c>
      <c r="K6" s="28" t="n">
        <v>179367.6290217582</v>
      </c>
    </row>
    <row r="7" ht="16" customHeight="1">
      <c r="A7" s="27" t="n">
        <v>4</v>
      </c>
      <c r="B7" s="27" t="n">
        <v>4</v>
      </c>
      <c r="C7" s="28" t="n">
        <v>989034.7699001597</v>
      </c>
      <c r="D7" s="28" t="n">
        <v>63444.28637386619</v>
      </c>
      <c r="E7" s="28" t="n">
        <v>59342.08619400958</v>
      </c>
      <c r="F7" s="28" t="n">
        <v>4102.200179856613</v>
      </c>
      <c r="G7" s="28" t="n">
        <v>984932.5697203031</v>
      </c>
      <c r="H7" s="29" t="n">
        <v>0.7920936632380204</v>
      </c>
      <c r="I7" s="28" t="n">
        <v>50253.8172053977</v>
      </c>
      <c r="J7" s="28" t="n">
        <v>253777.1454954648</v>
      </c>
      <c r="K7" s="28" t="n">
        <v>238709.7152157677</v>
      </c>
    </row>
    <row r="8" ht="16" customHeight="1">
      <c r="A8" s="27" t="n">
        <v>5</v>
      </c>
      <c r="B8" s="27" t="n">
        <v>5</v>
      </c>
      <c r="C8" s="28" t="n">
        <v>984932.5697203031</v>
      </c>
      <c r="D8" s="28" t="n">
        <v>63444.28637386619</v>
      </c>
      <c r="E8" s="28" t="n">
        <v>59095.95418321818</v>
      </c>
      <c r="F8" s="28" t="n">
        <v>4348.332190648012</v>
      </c>
      <c r="G8" s="28" t="n">
        <v>980584.237529655</v>
      </c>
      <c r="H8" s="29" t="n">
        <v>0.747258172866057</v>
      </c>
      <c r="I8" s="28" t="n">
        <v>47409.26151452613</v>
      </c>
      <c r="J8" s="28" t="n">
        <v>317221.4318693309</v>
      </c>
      <c r="K8" s="28" t="n">
        <v>297805.6693989859</v>
      </c>
    </row>
    <row r="9" ht="16" customHeight="1">
      <c r="A9" s="27" t="n">
        <v>6</v>
      </c>
      <c r="B9" s="27" t="n">
        <v>6</v>
      </c>
      <c r="C9" s="28" t="n">
        <v>980584.237529655</v>
      </c>
      <c r="D9" s="28" t="n">
        <v>63444.28637386619</v>
      </c>
      <c r="E9" s="28" t="n">
        <v>58835.0542517793</v>
      </c>
      <c r="F9" s="28" t="n">
        <v>4609.232122086891</v>
      </c>
      <c r="G9" s="28" t="n">
        <v>975975.0054075681</v>
      </c>
      <c r="H9" s="29" t="n">
        <v>0.7049605404396764</v>
      </c>
      <c r="I9" s="28" t="n">
        <v>44725.7184099303</v>
      </c>
      <c r="J9" s="28" t="n">
        <v>380665.7182431971</v>
      </c>
      <c r="K9" s="28" t="n">
        <v>356640.7236507652</v>
      </c>
    </row>
    <row r="10" ht="16" customHeight="1">
      <c r="A10" s="27" t="n">
        <v>7</v>
      </c>
      <c r="B10" s="27" t="n">
        <v>7</v>
      </c>
      <c r="C10" s="28" t="n">
        <v>975975.0054075681</v>
      </c>
      <c r="D10" s="28" t="n">
        <v>63444.28637386619</v>
      </c>
      <c r="E10" s="28" t="n">
        <v>58558.50032445408</v>
      </c>
      <c r="F10" s="28" t="n">
        <v>4885.786049412112</v>
      </c>
      <c r="G10" s="28" t="n">
        <v>971089.219358156</v>
      </c>
      <c r="H10" s="29" t="n">
        <v>0.6650571136223361</v>
      </c>
      <c r="I10" s="28" t="n">
        <v>42194.07397163236</v>
      </c>
      <c r="J10" s="28" t="n">
        <v>444110.0046170633</v>
      </c>
      <c r="K10" s="28" t="n">
        <v>415199.2239752193</v>
      </c>
    </row>
    <row r="11" ht="16" customHeight="1">
      <c r="A11" s="27" t="n">
        <v>8</v>
      </c>
      <c r="B11" s="27" t="n">
        <v>8</v>
      </c>
      <c r="C11" s="28" t="n">
        <v>971089.219358156</v>
      </c>
      <c r="D11" s="28" t="n">
        <v>63444.28637386619</v>
      </c>
      <c r="E11" s="28" t="n">
        <v>58265.35316148936</v>
      </c>
      <c r="F11" s="28" t="n">
        <v>5178.933212376833</v>
      </c>
      <c r="G11" s="28" t="n">
        <v>965910.2861457792</v>
      </c>
      <c r="H11" s="29" t="n">
        <v>0.6274123713418265</v>
      </c>
      <c r="I11" s="28" t="n">
        <v>39805.73016191732</v>
      </c>
      <c r="J11" s="28" t="n">
        <v>507554.2909909295</v>
      </c>
      <c r="K11" s="28" t="n">
        <v>473464.5771367087</v>
      </c>
    </row>
    <row r="12" ht="16" customHeight="1">
      <c r="A12" s="27" t="n">
        <v>9</v>
      </c>
      <c r="B12" s="27" t="n">
        <v>9</v>
      </c>
      <c r="C12" s="28" t="n">
        <v>965910.2861457792</v>
      </c>
      <c r="D12" s="28" t="n">
        <v>63444.28637386619</v>
      </c>
      <c r="E12" s="28" t="n">
        <v>57954.61716874675</v>
      </c>
      <c r="F12" s="28" t="n">
        <v>5489.66920511944</v>
      </c>
      <c r="G12" s="28" t="n">
        <v>960420.6169406597</v>
      </c>
      <c r="H12" s="29" t="n">
        <v>0.591898463530025</v>
      </c>
      <c r="I12" s="28" t="n">
        <v>37552.5756244503</v>
      </c>
      <c r="J12" s="28" t="n">
        <v>570998.5773647957</v>
      </c>
      <c r="K12" s="28" t="n">
        <v>531419.1943054554</v>
      </c>
    </row>
    <row r="13" ht="16" customHeight="1">
      <c r="A13" s="27" t="n">
        <v>10</v>
      </c>
      <c r="B13" s="27" t="n">
        <v>10</v>
      </c>
      <c r="C13" s="28" t="n">
        <v>960420.6169406597</v>
      </c>
      <c r="D13" s="28" t="n">
        <v>63444.28637386619</v>
      </c>
      <c r="E13" s="28" t="n">
        <v>57625.23701643958</v>
      </c>
      <c r="F13" s="28" t="n">
        <v>5819.049357426607</v>
      </c>
      <c r="G13" s="28" t="n">
        <v>954601.5675832331</v>
      </c>
      <c r="H13" s="29" t="n">
        <v>0.5583947769151179</v>
      </c>
      <c r="I13" s="28" t="n">
        <v>35426.95813627386</v>
      </c>
      <c r="J13" s="28" t="n">
        <v>634442.8637386619</v>
      </c>
      <c r="K13" s="28" t="n">
        <v>589044.431321895</v>
      </c>
    </row>
    <row r="14" ht="16" customHeight="1">
      <c r="A14" s="27" t="n">
        <v>11</v>
      </c>
      <c r="B14" s="27" t="n">
        <v>11</v>
      </c>
      <c r="C14" s="28" t="n">
        <v>954601.5675832331</v>
      </c>
      <c r="D14" s="28" t="n">
        <v>63444.28637386619</v>
      </c>
      <c r="E14" s="28" t="n">
        <v>57276.09405499398</v>
      </c>
      <c r="F14" s="28" t="n">
        <v>6168.192318872207</v>
      </c>
      <c r="G14" s="28" t="n">
        <v>948433.3752643609</v>
      </c>
      <c r="H14" s="29" t="n">
        <v>0.5267875253916207</v>
      </c>
      <c r="I14" s="28" t="n">
        <v>33421.65861912629</v>
      </c>
      <c r="J14" s="28" t="n">
        <v>697887.150112528</v>
      </c>
      <c r="K14" s="28" t="n">
        <v>646320.5253768889</v>
      </c>
    </row>
    <row r="15" ht="16" customHeight="1">
      <c r="A15" s="27" t="n">
        <v>12</v>
      </c>
      <c r="B15" s="27" t="n">
        <v>12</v>
      </c>
      <c r="C15" s="28" t="n">
        <v>948433.3752643609</v>
      </c>
      <c r="D15" s="28" t="n">
        <v>63444.28637386619</v>
      </c>
      <c r="E15" s="28" t="n">
        <v>56906.00251586166</v>
      </c>
      <c r="F15" s="28" t="n">
        <v>6538.283858004535</v>
      </c>
      <c r="G15" s="28" t="n">
        <v>941895.0914063564</v>
      </c>
      <c r="H15" s="29" t="n">
        <v>0.4969693635770006</v>
      </c>
      <c r="I15" s="28" t="n">
        <v>31529.86662181725</v>
      </c>
      <c r="J15" s="28" t="n">
        <v>761331.4364863941</v>
      </c>
      <c r="K15" s="28" t="n">
        <v>703226.5278927506</v>
      </c>
    </row>
    <row r="16" ht="16" customHeight="1">
      <c r="A16" s="27" t="n">
        <v>13</v>
      </c>
      <c r="B16" s="27" t="n">
        <v>13</v>
      </c>
      <c r="C16" s="28" t="n">
        <v>941895.0914063564</v>
      </c>
      <c r="D16" s="28" t="n">
        <v>63444.28637386619</v>
      </c>
      <c r="E16" s="28" t="n">
        <v>56513.70548438138</v>
      </c>
      <c r="F16" s="28" t="n">
        <v>6930.580889484809</v>
      </c>
      <c r="G16" s="28" t="n">
        <v>934964.5105168716</v>
      </c>
      <c r="H16" s="29" t="n">
        <v>0.4688390222424533</v>
      </c>
      <c r="I16" s="28" t="n">
        <v>29745.15719039363</v>
      </c>
      <c r="J16" s="28" t="n">
        <v>824775.7228602603</v>
      </c>
      <c r="K16" s="28" t="n">
        <v>759740.233377132</v>
      </c>
    </row>
    <row r="17" ht="16" customHeight="1">
      <c r="A17" s="27" t="n">
        <v>14</v>
      </c>
      <c r="B17" s="27" t="n">
        <v>14</v>
      </c>
      <c r="C17" s="28" t="n">
        <v>934964.5105168716</v>
      </c>
      <c r="D17" s="28" t="n">
        <v>63444.28637386619</v>
      </c>
      <c r="E17" s="28" t="n">
        <v>56097.87063101229</v>
      </c>
      <c r="F17" s="28" t="n">
        <v>7346.415742853897</v>
      </c>
      <c r="G17" s="28" t="n">
        <v>927618.0947740177</v>
      </c>
      <c r="H17" s="29" t="n">
        <v>0.4423009643796729</v>
      </c>
      <c r="I17" s="28" t="n">
        <v>28061.46904754116</v>
      </c>
      <c r="J17" s="28" t="n">
        <v>888220.0092341264</v>
      </c>
      <c r="K17" s="28" t="n">
        <v>815838.1040081442</v>
      </c>
    </row>
    <row r="18" ht="16" customHeight="1">
      <c r="A18" s="27" t="n">
        <v>15</v>
      </c>
      <c r="B18" s="27" t="n">
        <v>15</v>
      </c>
      <c r="C18" s="28" t="n">
        <v>927618.0947740177</v>
      </c>
      <c r="D18" s="28" t="n">
        <v>63444.28637386619</v>
      </c>
      <c r="E18" s="28" t="n">
        <v>55657.08568644106</v>
      </c>
      <c r="F18" s="28" t="n">
        <v>7787.200687425131</v>
      </c>
      <c r="G18" s="28" t="n">
        <v>919830.8940865926</v>
      </c>
      <c r="H18" s="29" t="n">
        <v>0.4172650607355405</v>
      </c>
      <c r="I18" s="28" t="n">
        <v>26473.0840071143</v>
      </c>
      <c r="J18" s="28" t="n">
        <v>951664.2956079926</v>
      </c>
      <c r="K18" s="28" t="n">
        <v>871495.1896945853</v>
      </c>
    </row>
    <row r="19" ht="16" customHeight="1">
      <c r="A19" s="27" t="n">
        <v>16</v>
      </c>
      <c r="B19" s="27" t="n">
        <v>16</v>
      </c>
      <c r="C19" s="28" t="n">
        <v>919830.8940865926</v>
      </c>
      <c r="D19" s="28" t="n">
        <v>63444.28637386619</v>
      </c>
      <c r="E19" s="28" t="n">
        <v>55189.85364519555</v>
      </c>
      <c r="F19" s="28" t="n">
        <v>8254.432728670639</v>
      </c>
      <c r="G19" s="28" t="n">
        <v>911576.4613579219</v>
      </c>
      <c r="H19" s="29" t="n">
        <v>0.393646283712774</v>
      </c>
      <c r="I19" s="28" t="n">
        <v>24974.60755388141</v>
      </c>
      <c r="J19" s="28" t="n">
        <v>1015108.581981859</v>
      </c>
      <c r="K19" s="28" t="n">
        <v>926685.0433397809</v>
      </c>
    </row>
    <row r="20" ht="16" customHeight="1">
      <c r="A20" s="27" t="n">
        <v>17</v>
      </c>
      <c r="B20" s="27" t="n">
        <v>17</v>
      </c>
      <c r="C20" s="28" t="n">
        <v>911576.4613579219</v>
      </c>
      <c r="D20" s="28" t="n">
        <v>63444.28637386619</v>
      </c>
      <c r="E20" s="28" t="n">
        <v>54694.58768147531</v>
      </c>
      <c r="F20" s="28" t="n">
        <v>8749.698692390877</v>
      </c>
      <c r="G20" s="28" t="n">
        <v>902826.762665531</v>
      </c>
      <c r="H20" s="29" t="n">
        <v>0.3713644185969566</v>
      </c>
      <c r="I20" s="28" t="n">
        <v>23560.95052252963</v>
      </c>
      <c r="J20" s="28" t="n">
        <v>1078552.868355725</v>
      </c>
      <c r="K20" s="28" t="n">
        <v>981379.6310212562</v>
      </c>
    </row>
    <row r="21" ht="16" customHeight="1">
      <c r="A21" s="27" t="n">
        <v>18</v>
      </c>
      <c r="B21" s="27" t="n">
        <v>18</v>
      </c>
      <c r="C21" s="28" t="n">
        <v>902826.762665531</v>
      </c>
      <c r="D21" s="28" t="n">
        <v>63444.28637386619</v>
      </c>
      <c r="E21" s="28" t="n">
        <v>54169.60575993186</v>
      </c>
      <c r="F21" s="28" t="n">
        <v>9274.680613934332</v>
      </c>
      <c r="G21" s="28" t="n">
        <v>893552.0820515967</v>
      </c>
      <c r="H21" s="29" t="n">
        <v>0.3503437911292043</v>
      </c>
      <c r="I21" s="28" t="n">
        <v>22227.3118137072</v>
      </c>
      <c r="J21" s="28" t="n">
        <v>1141997.154729591</v>
      </c>
      <c r="K21" s="28" t="n">
        <v>1035549.236781188</v>
      </c>
    </row>
    <row r="22" ht="16" customHeight="1">
      <c r="A22" s="27" t="n">
        <v>19</v>
      </c>
      <c r="B22" s="27" t="n">
        <v>19</v>
      </c>
      <c r="C22" s="28" t="n">
        <v>893552.0820515967</v>
      </c>
      <c r="D22" s="28" t="n">
        <v>63444.28637386619</v>
      </c>
      <c r="E22" s="28" t="n">
        <v>53613.1249230958</v>
      </c>
      <c r="F22" s="28" t="n">
        <v>9831.161450770393</v>
      </c>
      <c r="G22" s="28" t="n">
        <v>883720.9206008264</v>
      </c>
      <c r="H22" s="29" t="n">
        <v>0.3305130104992494</v>
      </c>
      <c r="I22" s="28" t="n">
        <v>20969.16208840302</v>
      </c>
      <c r="J22" s="28" t="n">
        <v>1205441.441103457</v>
      </c>
      <c r="K22" s="28" t="n">
        <v>1089162.361704284</v>
      </c>
    </row>
    <row r="23" ht="16" customHeight="1">
      <c r="A23" s="27" t="n">
        <v>20</v>
      </c>
      <c r="B23" s="27" t="n">
        <v>20</v>
      </c>
      <c r="C23" s="28" t="n">
        <v>883720.9206008264</v>
      </c>
      <c r="D23" s="28" t="n">
        <v>63444.28637386619</v>
      </c>
      <c r="E23" s="28" t="n">
        <v>53023.25523604958</v>
      </c>
      <c r="F23" s="28" t="n">
        <v>10421.03113781661</v>
      </c>
      <c r="G23" s="28" t="n">
        <v>873299.8894630098</v>
      </c>
      <c r="H23" s="29" t="n">
        <v>0.3118047268860843</v>
      </c>
      <c r="I23" s="28" t="n">
        <v>19782.22838528587</v>
      </c>
      <c r="J23" s="28" t="n">
        <v>1268885.727477324</v>
      </c>
      <c r="K23" s="28" t="n">
        <v>1142185.616940334</v>
      </c>
    </row>
    <row r="24" ht="16" customHeight="1">
      <c r="A24" s="27" t="n">
        <v>21</v>
      </c>
      <c r="B24" s="27" t="n">
        <v>21</v>
      </c>
      <c r="C24" s="28" t="n">
        <v>873299.8894630098</v>
      </c>
      <c r="D24" s="28" t="n">
        <v>63444.28637386619</v>
      </c>
      <c r="E24" s="28" t="n">
        <v>52397.99336778058</v>
      </c>
      <c r="F24" s="28" t="n">
        <v>11046.29300608561</v>
      </c>
      <c r="G24" s="28" t="n">
        <v>862253.5964569242</v>
      </c>
      <c r="H24" s="29" t="n">
        <v>0.294155402722721</v>
      </c>
      <c r="I24" s="28" t="n">
        <v>18662.47960876025</v>
      </c>
      <c r="J24" s="28" t="n">
        <v>1332330.01385119</v>
      </c>
      <c r="K24" s="28" t="n">
        <v>1194583.610308114</v>
      </c>
    </row>
    <row r="25" ht="16" customHeight="1">
      <c r="A25" s="27" t="n">
        <v>22</v>
      </c>
      <c r="B25" s="27" t="n">
        <v>22</v>
      </c>
      <c r="C25" s="28" t="n">
        <v>862253.5964569242</v>
      </c>
      <c r="D25" s="28" t="n">
        <v>63444.28637386619</v>
      </c>
      <c r="E25" s="28" t="n">
        <v>51735.21578741545</v>
      </c>
      <c r="F25" s="28" t="n">
        <v>11709.07058645074</v>
      </c>
      <c r="G25" s="28" t="n">
        <v>850544.5258704735</v>
      </c>
      <c r="H25" s="29" t="n">
        <v>0.2775050969082273</v>
      </c>
      <c r="I25" s="28" t="n">
        <v>17606.11283845306</v>
      </c>
      <c r="J25" s="28" t="n">
        <v>1395774.300225056</v>
      </c>
      <c r="K25" s="28" t="n">
        <v>1246318.826095529</v>
      </c>
    </row>
    <row r="26" ht="16" customHeight="1">
      <c r="A26" s="27" t="n">
        <v>23</v>
      </c>
      <c r="B26" s="27" t="n">
        <v>23</v>
      </c>
      <c r="C26" s="28" t="n">
        <v>850544.5258704735</v>
      </c>
      <c r="D26" s="28" t="n">
        <v>63444.28637386619</v>
      </c>
      <c r="E26" s="28" t="n">
        <v>51032.67155222841</v>
      </c>
      <c r="F26" s="28" t="n">
        <v>12411.61482163778</v>
      </c>
      <c r="G26" s="28" t="n">
        <v>838132.9110488357</v>
      </c>
      <c r="H26" s="29" t="n">
        <v>0.2617972612341767</v>
      </c>
      <c r="I26" s="28" t="n">
        <v>16609.54041363497</v>
      </c>
      <c r="J26" s="28" t="n">
        <v>1459218.586598922</v>
      </c>
      <c r="K26" s="28" t="n">
        <v>1297351.497647758</v>
      </c>
    </row>
    <row r="27" ht="16" customHeight="1">
      <c r="A27" s="27" t="n">
        <v>24</v>
      </c>
      <c r="B27" s="27" t="n">
        <v>24</v>
      </c>
      <c r="C27" s="28" t="n">
        <v>838132.9110488357</v>
      </c>
      <c r="D27" s="28" t="n">
        <v>63444.28637386619</v>
      </c>
      <c r="E27" s="28" t="n">
        <v>50287.97466293014</v>
      </c>
      <c r="F27" s="28" t="n">
        <v>13156.31171093605</v>
      </c>
      <c r="G27" s="28" t="n">
        <v>824976.5993378997</v>
      </c>
      <c r="H27" s="29" t="n">
        <v>0.246978548334129</v>
      </c>
      <c r="I27" s="28" t="n">
        <v>15669.37774871223</v>
      </c>
      <c r="J27" s="28" t="n">
        <v>1522662.872972789</v>
      </c>
      <c r="K27" s="28" t="n">
        <v>1347639.472310688</v>
      </c>
    </row>
    <row r="28" ht="16" customHeight="1">
      <c r="A28" s="27" t="n">
        <v>25</v>
      </c>
      <c r="B28" s="27" t="n">
        <v>25</v>
      </c>
      <c r="C28" s="28" t="n">
        <v>824976.5993378997</v>
      </c>
      <c r="D28" s="28" t="n">
        <v>63444.28637386619</v>
      </c>
      <c r="E28" s="28" t="n">
        <v>49498.59596027398</v>
      </c>
      <c r="F28" s="28" t="n">
        <v>13945.69041359221</v>
      </c>
      <c r="G28" s="28" t="n">
        <v>811030.9089243074</v>
      </c>
      <c r="H28" s="29" t="n">
        <v>0.2329986305038952</v>
      </c>
      <c r="I28" s="28" t="n">
        <v>14782.43183840777</v>
      </c>
      <c r="J28" s="28" t="n">
        <v>1586107.159346655</v>
      </c>
      <c r="K28" s="28" t="n">
        <v>1397138.068270962</v>
      </c>
    </row>
    <row r="29" ht="16" customHeight="1">
      <c r="A29" s="27" t="n">
        <v>26</v>
      </c>
      <c r="B29" s="27" t="n">
        <v>26</v>
      </c>
      <c r="C29" s="28" t="n">
        <v>811030.9089243074</v>
      </c>
      <c r="D29" s="28" t="n">
        <v>63444.28637386619</v>
      </c>
      <c r="E29" s="28" t="n">
        <v>48661.85453545844</v>
      </c>
      <c r="F29" s="28" t="n">
        <v>14782.43183840775</v>
      </c>
      <c r="G29" s="28" t="n">
        <v>796248.4770858997</v>
      </c>
      <c r="H29" s="29" t="n">
        <v>0.2198100287772597</v>
      </c>
      <c r="I29" s="28" t="n">
        <v>13945.69041359223</v>
      </c>
      <c r="J29" s="28" t="n">
        <v>1649551.445720521</v>
      </c>
      <c r="K29" s="28" t="n">
        <v>1445799.92280642</v>
      </c>
    </row>
    <row r="30" ht="16" customHeight="1">
      <c r="A30" s="27" t="n">
        <v>27</v>
      </c>
      <c r="B30" s="27" t="n">
        <v>27</v>
      </c>
      <c r="C30" s="28" t="n">
        <v>796248.4770858997</v>
      </c>
      <c r="D30" s="28" t="n">
        <v>63444.28637386619</v>
      </c>
      <c r="E30" s="28" t="n">
        <v>47774.90862515398</v>
      </c>
      <c r="F30" s="28" t="n">
        <v>15669.37774871221</v>
      </c>
      <c r="G30" s="28" t="n">
        <v>780579.0993371875</v>
      </c>
      <c r="H30" s="29" t="n">
        <v>0.2073679516766601</v>
      </c>
      <c r="I30" s="28" t="n">
        <v>13156.31171093607</v>
      </c>
      <c r="J30" s="28" t="n">
        <v>1712995.732094388</v>
      </c>
      <c r="K30" s="28" t="n">
        <v>1493574.831431574</v>
      </c>
    </row>
    <row r="31" ht="16" customHeight="1">
      <c r="A31" s="27" t="n">
        <v>28</v>
      </c>
      <c r="B31" s="27" t="n">
        <v>28</v>
      </c>
      <c r="C31" s="28" t="n">
        <v>780579.0993371875</v>
      </c>
      <c r="D31" s="28" t="n">
        <v>63444.28637386619</v>
      </c>
      <c r="E31" s="28" t="n">
        <v>46834.74596023124</v>
      </c>
      <c r="F31" s="28" t="n">
        <v>16609.54041363495</v>
      </c>
      <c r="G31" s="28" t="n">
        <v>763969.5589235525</v>
      </c>
      <c r="H31" s="29" t="n">
        <v>0.1956301430911887</v>
      </c>
      <c r="I31" s="28" t="n">
        <v>12411.6148216378</v>
      </c>
      <c r="J31" s="28" t="n">
        <v>1776440.018468254</v>
      </c>
      <c r="K31" s="28" t="n">
        <v>1540409.577391806</v>
      </c>
    </row>
    <row r="32" ht="16" customHeight="1">
      <c r="A32" s="27" t="n">
        <v>29</v>
      </c>
      <c r="B32" s="27" t="n">
        <v>29</v>
      </c>
      <c r="C32" s="28" t="n">
        <v>763969.5589235525</v>
      </c>
      <c r="D32" s="28" t="n">
        <v>63444.28637386619</v>
      </c>
      <c r="E32" s="28" t="n">
        <v>45838.17353541315</v>
      </c>
      <c r="F32" s="28" t="n">
        <v>17606.11283845304</v>
      </c>
      <c r="G32" s="28" t="n">
        <v>746363.4460850995</v>
      </c>
      <c r="H32" s="29" t="n">
        <v>0.1845567387652724</v>
      </c>
      <c r="I32" s="28" t="n">
        <v>11709.07058645075</v>
      </c>
      <c r="J32" s="28" t="n">
        <v>1839884.30484212</v>
      </c>
      <c r="K32" s="28" t="n">
        <v>1586247.750927219</v>
      </c>
    </row>
    <row r="33" ht="16" customHeight="1">
      <c r="A33" s="27" t="n">
        <v>30</v>
      </c>
      <c r="B33" s="27" t="n">
        <v>30</v>
      </c>
      <c r="C33" s="28" t="n">
        <v>746363.4460850995</v>
      </c>
      <c r="D33" s="28" t="n">
        <v>63444.28637386619</v>
      </c>
      <c r="E33" s="28" t="n">
        <v>44781.80676510597</v>
      </c>
      <c r="F33" s="28" t="n">
        <v>18662.47960876022</v>
      </c>
      <c r="G33" s="28" t="n">
        <v>727700.9664763393</v>
      </c>
      <c r="H33" s="29" t="n">
        <v>0.1741101309106343</v>
      </c>
      <c r="I33" s="28" t="n">
        <v>11046.29300608561</v>
      </c>
      <c r="J33" s="28" t="n">
        <v>1903328.591215986</v>
      </c>
      <c r="K33" s="28" t="n">
        <v>1631029.557692325</v>
      </c>
    </row>
    <row r="34" ht="16" customHeight="1">
      <c r="A34" s="27" t="n">
        <v>31</v>
      </c>
      <c r="B34" s="27" t="n">
        <v>31</v>
      </c>
      <c r="C34" s="28" t="n">
        <v>727700.9664763393</v>
      </c>
      <c r="D34" s="28" t="n">
        <v>63444.28637386619</v>
      </c>
      <c r="E34" s="28" t="n">
        <v>43662.05798858035</v>
      </c>
      <c r="F34" s="28" t="n">
        <v>19782.22838528584</v>
      </c>
      <c r="G34" s="28" t="n">
        <v>707918.7380910534</v>
      </c>
      <c r="H34" s="29" t="n">
        <v>0.1642548404817304</v>
      </c>
      <c r="I34" s="28" t="n">
        <v>10421.03113781662</v>
      </c>
      <c r="J34" s="28" t="n">
        <v>1966772.877589853</v>
      </c>
      <c r="K34" s="28" t="n">
        <v>1674691.615680905</v>
      </c>
    </row>
    <row r="35" ht="16" customHeight="1">
      <c r="A35" s="27" t="n">
        <v>32</v>
      </c>
      <c r="B35" s="27" t="n">
        <v>32</v>
      </c>
      <c r="C35" s="28" t="n">
        <v>707918.7380910534</v>
      </c>
      <c r="D35" s="28" t="n">
        <v>63444.28637386619</v>
      </c>
      <c r="E35" s="28" t="n">
        <v>42475.12428546321</v>
      </c>
      <c r="F35" s="28" t="n">
        <v>20969.16208840298</v>
      </c>
      <c r="G35" s="28" t="n">
        <v>686949.5760026504</v>
      </c>
      <c r="H35" s="29" t="n">
        <v>0.1549573966808778</v>
      </c>
      <c r="I35" s="28" t="n">
        <v>9831.161450770393</v>
      </c>
      <c r="J35" s="28" t="n">
        <v>2030217.163963719</v>
      </c>
      <c r="K35" s="28" t="n">
        <v>1717166.739966368</v>
      </c>
    </row>
    <row r="36" ht="16" customHeight="1">
      <c r="A36" s="27" t="n">
        <v>33</v>
      </c>
      <c r="B36" s="27" t="n">
        <v>33</v>
      </c>
      <c r="C36" s="28" t="n">
        <v>686949.5760026504</v>
      </c>
      <c r="D36" s="28" t="n">
        <v>63444.28637386619</v>
      </c>
      <c r="E36" s="28" t="n">
        <v>41216.97456015903</v>
      </c>
      <c r="F36" s="28" t="n">
        <v>22227.31181370717</v>
      </c>
      <c r="G36" s="28" t="n">
        <v>664722.2641889433</v>
      </c>
      <c r="H36" s="29" t="n">
        <v>0.1461862232838469</v>
      </c>
      <c r="I36" s="28" t="n">
        <v>9274.680613934332</v>
      </c>
      <c r="J36" s="28" t="n">
        <v>2093661.450337585</v>
      </c>
      <c r="K36" s="28" t="n">
        <v>1758383.714526527</v>
      </c>
    </row>
    <row r="37" ht="16" customHeight="1">
      <c r="A37" s="27" t="n">
        <v>34</v>
      </c>
      <c r="B37" s="27" t="n">
        <v>34</v>
      </c>
      <c r="C37" s="28" t="n">
        <v>664722.2641889433</v>
      </c>
      <c r="D37" s="28" t="n">
        <v>63444.28637386619</v>
      </c>
      <c r="E37" s="28" t="n">
        <v>39883.3358513366</v>
      </c>
      <c r="F37" s="28" t="n">
        <v>23560.95052252959</v>
      </c>
      <c r="G37" s="28" t="n">
        <v>641161.3136664138</v>
      </c>
      <c r="H37" s="29" t="n">
        <v>0.1379115313998556</v>
      </c>
      <c r="I37" s="28" t="n">
        <v>8749.698692390879</v>
      </c>
      <c r="J37" s="28" t="n">
        <v>2157105.736711451</v>
      </c>
      <c r="K37" s="28" t="n">
        <v>1798267.050377864</v>
      </c>
    </row>
    <row r="38" ht="16" customHeight="1">
      <c r="A38" s="27" t="n">
        <v>35</v>
      </c>
      <c r="B38" s="27" t="n">
        <v>35</v>
      </c>
      <c r="C38" s="28" t="n">
        <v>641161.3136664138</v>
      </c>
      <c r="D38" s="28" t="n">
        <v>63444.28637386619</v>
      </c>
      <c r="E38" s="28" t="n">
        <v>38469.67881998482</v>
      </c>
      <c r="F38" s="28" t="n">
        <v>24974.60755388137</v>
      </c>
      <c r="G38" s="28" t="n">
        <v>616186.7061125324</v>
      </c>
      <c r="H38" s="29" t="n">
        <v>0.1301052183017506</v>
      </c>
      <c r="I38" s="28" t="n">
        <v>8254.432728670639</v>
      </c>
      <c r="J38" s="28" t="n">
        <v>2220550.023085318</v>
      </c>
      <c r="K38" s="28" t="n">
        <v>1836736.729197849</v>
      </c>
    </row>
    <row r="39" ht="16" customHeight="1">
      <c r="A39" s="27" t="n">
        <v>36</v>
      </c>
      <c r="B39" s="27" t="n">
        <v>36</v>
      </c>
      <c r="C39" s="28" t="n">
        <v>616186.7061125324</v>
      </c>
      <c r="D39" s="28" t="n">
        <v>63444.28637386619</v>
      </c>
      <c r="E39" s="28" t="n">
        <v>36971.20236675195</v>
      </c>
      <c r="F39" s="28" t="n">
        <v>26473.08400711424</v>
      </c>
      <c r="G39" s="28" t="n">
        <v>589713.6221054181</v>
      </c>
      <c r="H39" s="29" t="n">
        <v>0.1227407719827835</v>
      </c>
      <c r="I39" s="28" t="n">
        <v>7787.200687425131</v>
      </c>
      <c r="J39" s="28" t="n">
        <v>2283994.309459184</v>
      </c>
      <c r="K39" s="28" t="n">
        <v>1873707.931564601</v>
      </c>
    </row>
    <row r="40" ht="16" customHeight="1">
      <c r="A40" s="27" t="n">
        <v>37</v>
      </c>
      <c r="B40" s="27" t="n">
        <v>37</v>
      </c>
      <c r="C40" s="28" t="n">
        <v>589713.6221054181</v>
      </c>
      <c r="D40" s="28" t="n">
        <v>63444.28637386619</v>
      </c>
      <c r="E40" s="28" t="n">
        <v>35382.81732632509</v>
      </c>
      <c r="F40" s="28" t="n">
        <v>28061.4690475411</v>
      </c>
      <c r="G40" s="28" t="n">
        <v>561652.153057877</v>
      </c>
      <c r="H40" s="29" t="n">
        <v>0.1157931811158335</v>
      </c>
      <c r="I40" s="28" t="n">
        <v>7346.415742853897</v>
      </c>
      <c r="J40" s="28" t="n">
        <v>2347438.59583305</v>
      </c>
      <c r="K40" s="28" t="n">
        <v>1909090.748890926</v>
      </c>
    </row>
    <row r="41" ht="16" customHeight="1">
      <c r="A41" s="27" t="n">
        <v>38</v>
      </c>
      <c r="B41" s="27" t="n">
        <v>38</v>
      </c>
      <c r="C41" s="28" t="n">
        <v>561652.153057877</v>
      </c>
      <c r="D41" s="28" t="n">
        <v>63444.28637386619</v>
      </c>
      <c r="E41" s="28" t="n">
        <v>33699.12918347261</v>
      </c>
      <c r="F41" s="28" t="n">
        <v>29745.15719039358</v>
      </c>
      <c r="G41" s="28" t="n">
        <v>531906.9958674834</v>
      </c>
      <c r="H41" s="29" t="n">
        <v>0.1092388501092769</v>
      </c>
      <c r="I41" s="28" t="n">
        <v>6930.580889484809</v>
      </c>
      <c r="J41" s="28" t="n">
        <v>2410882.882206916</v>
      </c>
      <c r="K41" s="28" t="n">
        <v>1942789.878074398</v>
      </c>
    </row>
    <row r="42" ht="16" customHeight="1">
      <c r="A42" s="27" t="n">
        <v>39</v>
      </c>
      <c r="B42" s="27" t="n">
        <v>39</v>
      </c>
      <c r="C42" s="28" t="n">
        <v>531906.9958674834</v>
      </c>
      <c r="D42" s="28" t="n">
        <v>63444.28637386619</v>
      </c>
      <c r="E42" s="28" t="n">
        <v>31914.41975204901</v>
      </c>
      <c r="F42" s="28" t="n">
        <v>31529.86662181719</v>
      </c>
      <c r="G42" s="28" t="n">
        <v>500377.1292456663</v>
      </c>
      <c r="H42" s="29" t="n">
        <v>0.1030555189710159</v>
      </c>
      <c r="I42" s="28" t="n">
        <v>6538.283858004535</v>
      </c>
      <c r="J42" s="28" t="n">
        <v>2474327.168580783</v>
      </c>
      <c r="K42" s="28" t="n">
        <v>1974704.297826447</v>
      </c>
    </row>
    <row r="43" ht="16" customHeight="1">
      <c r="A43" s="27" t="n">
        <v>40</v>
      </c>
      <c r="B43" s="27" t="n">
        <v>40</v>
      </c>
      <c r="C43" s="28" t="n">
        <v>500377.1292456663</v>
      </c>
      <c r="D43" s="28" t="n">
        <v>63444.28637386619</v>
      </c>
      <c r="E43" s="28" t="n">
        <v>30022.62775473997</v>
      </c>
      <c r="F43" s="28" t="n">
        <v>33421.65861912622</v>
      </c>
      <c r="G43" s="28" t="n">
        <v>466955.47062654</v>
      </c>
      <c r="H43" s="29" t="n">
        <v>0.0972221877085056</v>
      </c>
      <c r="I43" s="28" t="n">
        <v>6168.192318872203</v>
      </c>
      <c r="J43" s="28" t="n">
        <v>2537771.454954649</v>
      </c>
      <c r="K43" s="28" t="n">
        <v>2004726.925581187</v>
      </c>
    </row>
    <row r="44" ht="16" customHeight="1">
      <c r="A44" s="27" t="n">
        <v>41</v>
      </c>
      <c r="B44" s="27" t="n">
        <v>41</v>
      </c>
      <c r="C44" s="28" t="n">
        <v>466955.47062654</v>
      </c>
      <c r="D44" s="28" t="n">
        <v>63444.28637386619</v>
      </c>
      <c r="E44" s="28" t="n">
        <v>28017.3282375924</v>
      </c>
      <c r="F44" s="28" t="n">
        <v>35426.9581362738</v>
      </c>
      <c r="G44" s="28" t="n">
        <v>431528.5124902662</v>
      </c>
      <c r="H44" s="29" t="n">
        <v>0.09171904500802415</v>
      </c>
      <c r="I44" s="28" t="n">
        <v>5819.049357426607</v>
      </c>
      <c r="J44" s="28" t="n">
        <v>2601215.741328515</v>
      </c>
      <c r="K44" s="28" t="n">
        <v>2032744.25381878</v>
      </c>
    </row>
    <row r="45" ht="16" customHeight="1">
      <c r="A45" s="27" t="n">
        <v>42</v>
      </c>
      <c r="B45" s="27" t="n">
        <v>42</v>
      </c>
      <c r="C45" s="28" t="n">
        <v>431528.5124902662</v>
      </c>
      <c r="D45" s="28" t="n">
        <v>63444.28637386619</v>
      </c>
      <c r="E45" s="28" t="n">
        <v>25891.71074941597</v>
      </c>
      <c r="F45" s="28" t="n">
        <v>37552.57562445022</v>
      </c>
      <c r="G45" s="28" t="n">
        <v>393975.936865816</v>
      </c>
      <c r="H45" s="29" t="n">
        <v>0.08652740095096619</v>
      </c>
      <c r="I45" s="28" t="n">
        <v>5489.66920511944</v>
      </c>
      <c r="J45" s="28" t="n">
        <v>2664660.027702381</v>
      </c>
      <c r="K45" s="28" t="n">
        <v>2058635.964568196</v>
      </c>
    </row>
    <row r="46" ht="16" customHeight="1">
      <c r="A46" s="27" t="n">
        <v>43</v>
      </c>
      <c r="B46" s="27" t="n">
        <v>43</v>
      </c>
      <c r="C46" s="28" t="n">
        <v>393975.936865816</v>
      </c>
      <c r="D46" s="28" t="n">
        <v>63444.28637386619</v>
      </c>
      <c r="E46" s="28" t="n">
        <v>23638.55621194896</v>
      </c>
      <c r="F46" s="28" t="n">
        <v>39805.73016191724</v>
      </c>
      <c r="G46" s="28" t="n">
        <v>354170.2067038988</v>
      </c>
      <c r="H46" s="29" t="n">
        <v>0.08162962353864733</v>
      </c>
      <c r="I46" s="28" t="n">
        <v>5178.93321237683</v>
      </c>
      <c r="J46" s="28" t="n">
        <v>2728104.314076248</v>
      </c>
      <c r="K46" s="28" t="n">
        <v>2082274.520780144</v>
      </c>
    </row>
    <row r="47" ht="16" customHeight="1">
      <c r="A47" s="27" t="n">
        <v>44</v>
      </c>
      <c r="B47" s="27" t="n">
        <v>44</v>
      </c>
      <c r="C47" s="28" t="n">
        <v>354170.2067038988</v>
      </c>
      <c r="D47" s="28" t="n">
        <v>63444.28637386619</v>
      </c>
      <c r="E47" s="28" t="n">
        <v>21250.21240223393</v>
      </c>
      <c r="F47" s="28" t="n">
        <v>42194.07397163226</v>
      </c>
      <c r="G47" s="28" t="n">
        <v>311976.1327322665</v>
      </c>
      <c r="H47" s="29" t="n">
        <v>0.07700907881004465</v>
      </c>
      <c r="I47" s="28" t="n">
        <v>4885.786049412103</v>
      </c>
      <c r="J47" s="28" t="n">
        <v>2791548.600450114</v>
      </c>
      <c r="K47" s="28" t="n">
        <v>2103524.733182379</v>
      </c>
    </row>
    <row r="48" ht="16" customHeight="1">
      <c r="A48" s="27" t="n">
        <v>45</v>
      </c>
      <c r="B48" s="27" t="n">
        <v>45</v>
      </c>
      <c r="C48" s="28" t="n">
        <v>311976.1327322665</v>
      </c>
      <c r="D48" s="28" t="n">
        <v>63444.28637386619</v>
      </c>
      <c r="E48" s="28" t="n">
        <v>18718.56796393599</v>
      </c>
      <c r="F48" s="28" t="n">
        <v>44725.7184099302</v>
      </c>
      <c r="G48" s="28" t="n">
        <v>267250.4143223363</v>
      </c>
      <c r="H48" s="29" t="n">
        <v>0.07265007434909873</v>
      </c>
      <c r="I48" s="28" t="n">
        <v>4609.232122086891</v>
      </c>
      <c r="J48" s="28" t="n">
        <v>2854992.88682398</v>
      </c>
      <c r="K48" s="28" t="n">
        <v>2122243.301146314</v>
      </c>
    </row>
    <row r="49" ht="16" customHeight="1">
      <c r="A49" s="27" t="n">
        <v>46</v>
      </c>
      <c r="B49" s="27" t="n">
        <v>46</v>
      </c>
      <c r="C49" s="28" t="n">
        <v>267250.4143223363</v>
      </c>
      <c r="D49" s="28" t="n">
        <v>63444.28637386619</v>
      </c>
      <c r="E49" s="28" t="n">
        <v>16035.02485934018</v>
      </c>
      <c r="F49" s="28" t="n">
        <v>47409.26151452601</v>
      </c>
      <c r="G49" s="28" t="n">
        <v>219841.1528078103</v>
      </c>
      <c r="H49" s="29" t="n">
        <v>0.06853780598971577</v>
      </c>
      <c r="I49" s="28" t="n">
        <v>4348.332190648009</v>
      </c>
      <c r="J49" s="28" t="n">
        <v>2918437.173197846</v>
      </c>
      <c r="K49" s="28" t="n">
        <v>2138278.326005655</v>
      </c>
    </row>
    <row r="50" ht="16" customHeight="1">
      <c r="A50" s="27" t="n">
        <v>47</v>
      </c>
      <c r="B50" s="27" t="n">
        <v>47</v>
      </c>
      <c r="C50" s="28" t="n">
        <v>219841.1528078103</v>
      </c>
      <c r="D50" s="28" t="n">
        <v>63444.28637386619</v>
      </c>
      <c r="E50" s="28" t="n">
        <v>13190.46916846862</v>
      </c>
      <c r="F50" s="28" t="n">
        <v>50253.81720539757</v>
      </c>
      <c r="G50" s="28" t="n">
        <v>169587.3356024128</v>
      </c>
      <c r="H50" s="29" t="n">
        <v>0.06465830753746771</v>
      </c>
      <c r="I50" s="28" t="n">
        <v>4102.200179856613</v>
      </c>
      <c r="J50" s="28" t="n">
        <v>2981881.459571713</v>
      </c>
      <c r="K50" s="28" t="n">
        <v>2151468.795174124</v>
      </c>
    </row>
    <row r="51" ht="16" customHeight="1">
      <c r="A51" s="27" t="n">
        <v>48</v>
      </c>
      <c r="B51" s="27" t="n">
        <v>48</v>
      </c>
      <c r="C51" s="28" t="n">
        <v>169587.3356024128</v>
      </c>
      <c r="D51" s="28" t="n">
        <v>63444.28637386619</v>
      </c>
      <c r="E51" s="28" t="n">
        <v>10175.24013614476</v>
      </c>
      <c r="F51" s="28" t="n">
        <v>53269.04623772143</v>
      </c>
      <c r="G51" s="28" t="n">
        <v>116318.2893646913</v>
      </c>
      <c r="H51" s="29" t="n">
        <v>0.06099840333723369</v>
      </c>
      <c r="I51" s="28" t="n">
        <v>3870.000169676049</v>
      </c>
      <c r="J51" s="28" t="n">
        <v>3045325.745945579</v>
      </c>
      <c r="K51" s="28" t="n">
        <v>2161644.035310268</v>
      </c>
    </row>
    <row r="52" ht="16" customHeight="1">
      <c r="A52" s="27" t="n">
        <v>49</v>
      </c>
      <c r="B52" s="27" t="n">
        <v>49</v>
      </c>
      <c r="C52" s="28" t="n">
        <v>116318.2893646913</v>
      </c>
      <c r="D52" s="28" t="n">
        <v>63444.28637386619</v>
      </c>
      <c r="E52" s="28" t="n">
        <v>6979.09736188148</v>
      </c>
      <c r="F52" s="28" t="n">
        <v>56465.18901198471</v>
      </c>
      <c r="G52" s="28" t="n">
        <v>59853.10035270662</v>
      </c>
      <c r="H52" s="29" t="n">
        <v>0.05754566352569215</v>
      </c>
      <c r="I52" s="28" t="n">
        <v>3650.943556298159</v>
      </c>
      <c r="J52" s="28" t="n">
        <v>3108770.032319445</v>
      </c>
      <c r="K52" s="28" t="n">
        <v>2168623.13267215</v>
      </c>
    </row>
    <row r="53" ht="16" customHeight="1">
      <c r="A53" s="27" t="n">
        <v>50</v>
      </c>
      <c r="B53" s="27" t="n">
        <v>50</v>
      </c>
      <c r="C53" s="28" t="n">
        <v>59853.10035270662</v>
      </c>
      <c r="D53" s="28" t="n">
        <v>63444.28637386619</v>
      </c>
      <c r="E53" s="28" t="n">
        <v>3591.186021162397</v>
      </c>
      <c r="F53" s="28" t="n">
        <v>59853.1003527038</v>
      </c>
      <c r="G53" s="28" t="n">
        <v>0</v>
      </c>
      <c r="H53" s="29" t="n">
        <v>0.05428836181669071</v>
      </c>
      <c r="I53" s="28" t="n">
        <v>3444.286373866188</v>
      </c>
      <c r="J53" s="28" t="n">
        <v>3172214.318693311</v>
      </c>
      <c r="K53" s="28" t="n">
        <v>2172214.318693312</v>
      </c>
    </row>
    <row r="54" ht="22" customHeight="1">
      <c r="A54" s="30" t="inlineStr">
        <is>
          <t>TOTAL</t>
        </is>
      </c>
      <c r="B54" s="31" t="n"/>
      <c r="C54" s="32" t="inlineStr"/>
      <c r="D54" s="32" t="n">
        <v>3172214.318693311</v>
      </c>
      <c r="E54" s="32" t="n">
        <v>2172214.318693312</v>
      </c>
      <c r="F54" s="32" t="n">
        <v>999999.9999999974</v>
      </c>
      <c r="G54" s="32" t="inlineStr"/>
      <c r="H54" s="33" t="inlineStr"/>
      <c r="I54" s="32" t="n">
        <v>999999.9999999988</v>
      </c>
      <c r="J54" s="31" t="n"/>
      <c r="K54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</cols>
  <sheetData>
    <row r="1" ht="30" customHeight="1">
      <c r="A1" s="25" t="inlineStr">
        <is>
          <t>ANNUAL CASHFLOW SUMMARY  —  50-YEAR HORIZON</t>
        </is>
      </c>
    </row>
    <row r="2" ht="30" customHeight="1">
      <c r="A2" s="26" t="inlineStr">
        <is>
          <t>Year</t>
        </is>
      </c>
      <c r="B2" s="26" t="inlineStr">
        <is>
          <t>Beg Balance</t>
        </is>
      </c>
      <c r="C2" s="26" t="inlineStr">
        <is>
          <t>Total Payments</t>
        </is>
      </c>
      <c r="D2" s="26" t="inlineStr">
        <is>
          <t>Total Interest</t>
        </is>
      </c>
      <c r="E2" s="26" t="inlineStr">
        <is>
          <t>Total Principal</t>
        </is>
      </c>
      <c r="F2" s="26" t="inlineStr">
        <is>
          <t>End Balance</t>
        </is>
      </c>
      <c r="G2" s="26" t="inlineStr">
        <is>
          <t>Annual PV</t>
        </is>
      </c>
      <c r="H2" s="26" t="inlineStr">
        <is>
          <t>Cum. Payments</t>
        </is>
      </c>
      <c r="I2" s="26" t="inlineStr">
        <is>
          <t>Cum. Interest</t>
        </is>
      </c>
    </row>
    <row r="3" ht="16" customHeight="1">
      <c r="A3" s="34" t="n">
        <v>1</v>
      </c>
      <c r="B3" s="35" t="n">
        <v>1000000</v>
      </c>
      <c r="C3" s="35" t="n">
        <v>63444.28637386619</v>
      </c>
      <c r="D3" s="35" t="n">
        <v>60000</v>
      </c>
      <c r="E3" s="35" t="n">
        <v>3444.286373866191</v>
      </c>
      <c r="F3" s="35" t="n">
        <v>996555.7136261339</v>
      </c>
      <c r="G3" s="35" t="n">
        <v>59853.10035270395</v>
      </c>
      <c r="H3" s="35" t="n">
        <v>63444.28637386619</v>
      </c>
      <c r="I3" s="35" t="n">
        <v>60000</v>
      </c>
    </row>
    <row r="4" ht="16" customHeight="1">
      <c r="A4" s="36" t="n">
        <v>2</v>
      </c>
      <c r="B4" s="37" t="n">
        <v>996555.7136261339</v>
      </c>
      <c r="C4" s="37" t="n">
        <v>63444.28637386619</v>
      </c>
      <c r="D4" s="37" t="n">
        <v>59793.34281756803</v>
      </c>
      <c r="E4" s="37" t="n">
        <v>3650.94355629816</v>
      </c>
      <c r="F4" s="37" t="n">
        <v>992904.7700698357</v>
      </c>
      <c r="G4" s="37" t="n">
        <v>56465.18901198485</v>
      </c>
      <c r="H4" s="37" t="n">
        <v>126888.5727477324</v>
      </c>
      <c r="I4" s="37" t="n">
        <v>119793.342817568</v>
      </c>
    </row>
    <row r="5" ht="16" customHeight="1">
      <c r="A5" s="34" t="n">
        <v>3</v>
      </c>
      <c r="B5" s="35" t="n">
        <v>992904.7700698357</v>
      </c>
      <c r="C5" s="35" t="n">
        <v>63444.28637386619</v>
      </c>
      <c r="D5" s="35" t="n">
        <v>59574.28620419014</v>
      </c>
      <c r="E5" s="35" t="n">
        <v>3870.000169676052</v>
      </c>
      <c r="F5" s="35" t="n">
        <v>989034.7699001597</v>
      </c>
      <c r="G5" s="35" t="n">
        <v>53269.04623772156</v>
      </c>
      <c r="H5" s="35" t="n">
        <v>190332.8591215986</v>
      </c>
      <c r="I5" s="35" t="n">
        <v>179367.6290217582</v>
      </c>
    </row>
    <row r="6" ht="16" customHeight="1">
      <c r="A6" s="36" t="n">
        <v>4</v>
      </c>
      <c r="B6" s="37" t="n">
        <v>989034.7699001597</v>
      </c>
      <c r="C6" s="37" t="n">
        <v>63444.28637386619</v>
      </c>
      <c r="D6" s="37" t="n">
        <v>59342.08619400958</v>
      </c>
      <c r="E6" s="37" t="n">
        <v>4102.200179856613</v>
      </c>
      <c r="F6" s="37" t="n">
        <v>984932.5697203031</v>
      </c>
      <c r="G6" s="37" t="n">
        <v>50253.8172053977</v>
      </c>
      <c r="H6" s="37" t="n">
        <v>253777.1454954648</v>
      </c>
      <c r="I6" s="37" t="n">
        <v>238709.7152157677</v>
      </c>
    </row>
    <row r="7" ht="16" customHeight="1">
      <c r="A7" s="34" t="n">
        <v>5</v>
      </c>
      <c r="B7" s="35" t="n">
        <v>984932.5697203031</v>
      </c>
      <c r="C7" s="35" t="n">
        <v>63444.28637386619</v>
      </c>
      <c r="D7" s="35" t="n">
        <v>59095.95418321818</v>
      </c>
      <c r="E7" s="35" t="n">
        <v>4348.332190648012</v>
      </c>
      <c r="F7" s="35" t="n">
        <v>980584.237529655</v>
      </c>
      <c r="G7" s="35" t="n">
        <v>47409.26151452613</v>
      </c>
      <c r="H7" s="35" t="n">
        <v>317221.4318693309</v>
      </c>
      <c r="I7" s="35" t="n">
        <v>297805.6693989859</v>
      </c>
    </row>
    <row r="8" ht="16" customHeight="1">
      <c r="A8" s="36" t="n">
        <v>6</v>
      </c>
      <c r="B8" s="37" t="n">
        <v>980584.237529655</v>
      </c>
      <c r="C8" s="37" t="n">
        <v>63444.28637386619</v>
      </c>
      <c r="D8" s="37" t="n">
        <v>58835.0542517793</v>
      </c>
      <c r="E8" s="37" t="n">
        <v>4609.232122086891</v>
      </c>
      <c r="F8" s="37" t="n">
        <v>975975.0054075681</v>
      </c>
      <c r="G8" s="37" t="n">
        <v>44725.7184099303</v>
      </c>
      <c r="H8" s="37" t="n">
        <v>380665.7182431971</v>
      </c>
      <c r="I8" s="37" t="n">
        <v>356640.7236507652</v>
      </c>
    </row>
    <row r="9" ht="16" customHeight="1">
      <c r="A9" s="34" t="n">
        <v>7</v>
      </c>
      <c r="B9" s="35" t="n">
        <v>975975.0054075681</v>
      </c>
      <c r="C9" s="35" t="n">
        <v>63444.28637386619</v>
      </c>
      <c r="D9" s="35" t="n">
        <v>58558.50032445408</v>
      </c>
      <c r="E9" s="35" t="n">
        <v>4885.786049412112</v>
      </c>
      <c r="F9" s="35" t="n">
        <v>971089.219358156</v>
      </c>
      <c r="G9" s="35" t="n">
        <v>42194.07397163236</v>
      </c>
      <c r="H9" s="35" t="n">
        <v>444110.0046170633</v>
      </c>
      <c r="I9" s="35" t="n">
        <v>415199.2239752193</v>
      </c>
    </row>
    <row r="10" ht="16" customHeight="1">
      <c r="A10" s="36" t="n">
        <v>8</v>
      </c>
      <c r="B10" s="37" t="n">
        <v>971089.219358156</v>
      </c>
      <c r="C10" s="37" t="n">
        <v>63444.28637386619</v>
      </c>
      <c r="D10" s="37" t="n">
        <v>58265.35316148936</v>
      </c>
      <c r="E10" s="37" t="n">
        <v>5178.933212376833</v>
      </c>
      <c r="F10" s="37" t="n">
        <v>965910.2861457792</v>
      </c>
      <c r="G10" s="37" t="n">
        <v>39805.73016191732</v>
      </c>
      <c r="H10" s="37" t="n">
        <v>507554.2909909295</v>
      </c>
      <c r="I10" s="37" t="n">
        <v>473464.5771367087</v>
      </c>
    </row>
    <row r="11" ht="16" customHeight="1">
      <c r="A11" s="34" t="n">
        <v>9</v>
      </c>
      <c r="B11" s="35" t="n">
        <v>965910.2861457792</v>
      </c>
      <c r="C11" s="35" t="n">
        <v>63444.28637386619</v>
      </c>
      <c r="D11" s="35" t="n">
        <v>57954.61716874675</v>
      </c>
      <c r="E11" s="35" t="n">
        <v>5489.66920511944</v>
      </c>
      <c r="F11" s="35" t="n">
        <v>960420.6169406597</v>
      </c>
      <c r="G11" s="35" t="n">
        <v>37552.5756244503</v>
      </c>
      <c r="H11" s="35" t="n">
        <v>570998.5773647957</v>
      </c>
      <c r="I11" s="35" t="n">
        <v>531419.1943054554</v>
      </c>
    </row>
    <row r="12" ht="16" customHeight="1">
      <c r="A12" s="36" t="n">
        <v>10</v>
      </c>
      <c r="B12" s="37" t="n">
        <v>960420.6169406597</v>
      </c>
      <c r="C12" s="37" t="n">
        <v>63444.28637386619</v>
      </c>
      <c r="D12" s="37" t="n">
        <v>57625.23701643958</v>
      </c>
      <c r="E12" s="37" t="n">
        <v>5819.049357426607</v>
      </c>
      <c r="F12" s="37" t="n">
        <v>954601.5675832331</v>
      </c>
      <c r="G12" s="37" t="n">
        <v>35426.95813627386</v>
      </c>
      <c r="H12" s="37" t="n">
        <v>634442.8637386619</v>
      </c>
      <c r="I12" s="37" t="n">
        <v>589044.431321895</v>
      </c>
    </row>
    <row r="13" ht="16" customHeight="1">
      <c r="A13" s="34" t="n">
        <v>11</v>
      </c>
      <c r="B13" s="35" t="n">
        <v>954601.5675832331</v>
      </c>
      <c r="C13" s="35" t="n">
        <v>63444.28637386619</v>
      </c>
      <c r="D13" s="35" t="n">
        <v>57276.09405499398</v>
      </c>
      <c r="E13" s="35" t="n">
        <v>6168.192318872207</v>
      </c>
      <c r="F13" s="35" t="n">
        <v>948433.3752643609</v>
      </c>
      <c r="G13" s="35" t="n">
        <v>33421.65861912629</v>
      </c>
      <c r="H13" s="35" t="n">
        <v>697887.150112528</v>
      </c>
      <c r="I13" s="35" t="n">
        <v>646320.5253768889</v>
      </c>
    </row>
    <row r="14" ht="16" customHeight="1">
      <c r="A14" s="36" t="n">
        <v>12</v>
      </c>
      <c r="B14" s="37" t="n">
        <v>948433.3752643609</v>
      </c>
      <c r="C14" s="37" t="n">
        <v>63444.28637386619</v>
      </c>
      <c r="D14" s="37" t="n">
        <v>56906.00251586166</v>
      </c>
      <c r="E14" s="37" t="n">
        <v>6538.283858004535</v>
      </c>
      <c r="F14" s="37" t="n">
        <v>941895.0914063564</v>
      </c>
      <c r="G14" s="37" t="n">
        <v>31529.86662181725</v>
      </c>
      <c r="H14" s="37" t="n">
        <v>761331.4364863941</v>
      </c>
      <c r="I14" s="37" t="n">
        <v>703226.5278927506</v>
      </c>
    </row>
    <row r="15" ht="16" customHeight="1">
      <c r="A15" s="34" t="n">
        <v>13</v>
      </c>
      <c r="B15" s="35" t="n">
        <v>941895.0914063564</v>
      </c>
      <c r="C15" s="35" t="n">
        <v>63444.28637386619</v>
      </c>
      <c r="D15" s="35" t="n">
        <v>56513.70548438138</v>
      </c>
      <c r="E15" s="35" t="n">
        <v>6930.580889484809</v>
      </c>
      <c r="F15" s="35" t="n">
        <v>934964.5105168716</v>
      </c>
      <c r="G15" s="35" t="n">
        <v>29745.15719039363</v>
      </c>
      <c r="H15" s="35" t="n">
        <v>824775.7228602603</v>
      </c>
      <c r="I15" s="35" t="n">
        <v>759740.233377132</v>
      </c>
    </row>
    <row r="16" ht="16" customHeight="1">
      <c r="A16" s="36" t="n">
        <v>14</v>
      </c>
      <c r="B16" s="37" t="n">
        <v>934964.5105168716</v>
      </c>
      <c r="C16" s="37" t="n">
        <v>63444.28637386619</v>
      </c>
      <c r="D16" s="37" t="n">
        <v>56097.87063101229</v>
      </c>
      <c r="E16" s="37" t="n">
        <v>7346.415742853897</v>
      </c>
      <c r="F16" s="37" t="n">
        <v>927618.0947740177</v>
      </c>
      <c r="G16" s="37" t="n">
        <v>28061.46904754116</v>
      </c>
      <c r="H16" s="37" t="n">
        <v>888220.0092341264</v>
      </c>
      <c r="I16" s="37" t="n">
        <v>815838.1040081442</v>
      </c>
    </row>
    <row r="17" ht="16" customHeight="1">
      <c r="A17" s="34" t="n">
        <v>15</v>
      </c>
      <c r="B17" s="35" t="n">
        <v>927618.0947740177</v>
      </c>
      <c r="C17" s="35" t="n">
        <v>63444.28637386619</v>
      </c>
      <c r="D17" s="35" t="n">
        <v>55657.08568644106</v>
      </c>
      <c r="E17" s="35" t="n">
        <v>7787.200687425131</v>
      </c>
      <c r="F17" s="35" t="n">
        <v>919830.8940865926</v>
      </c>
      <c r="G17" s="35" t="n">
        <v>26473.0840071143</v>
      </c>
      <c r="H17" s="35" t="n">
        <v>951664.2956079926</v>
      </c>
      <c r="I17" s="35" t="n">
        <v>871495.1896945853</v>
      </c>
    </row>
    <row r="18" ht="16" customHeight="1">
      <c r="A18" s="36" t="n">
        <v>16</v>
      </c>
      <c r="B18" s="37" t="n">
        <v>919830.8940865926</v>
      </c>
      <c r="C18" s="37" t="n">
        <v>63444.28637386619</v>
      </c>
      <c r="D18" s="37" t="n">
        <v>55189.85364519555</v>
      </c>
      <c r="E18" s="37" t="n">
        <v>8254.432728670639</v>
      </c>
      <c r="F18" s="37" t="n">
        <v>911576.4613579219</v>
      </c>
      <c r="G18" s="37" t="n">
        <v>24974.60755388141</v>
      </c>
      <c r="H18" s="37" t="n">
        <v>1015108.581981859</v>
      </c>
      <c r="I18" s="37" t="n">
        <v>926685.0433397809</v>
      </c>
    </row>
    <row r="19" ht="16" customHeight="1">
      <c r="A19" s="34" t="n">
        <v>17</v>
      </c>
      <c r="B19" s="35" t="n">
        <v>911576.4613579219</v>
      </c>
      <c r="C19" s="35" t="n">
        <v>63444.28637386619</v>
      </c>
      <c r="D19" s="35" t="n">
        <v>54694.58768147531</v>
      </c>
      <c r="E19" s="35" t="n">
        <v>8749.698692390877</v>
      </c>
      <c r="F19" s="35" t="n">
        <v>902826.762665531</v>
      </c>
      <c r="G19" s="35" t="n">
        <v>23560.95052252963</v>
      </c>
      <c r="H19" s="35" t="n">
        <v>1078552.868355725</v>
      </c>
      <c r="I19" s="35" t="n">
        <v>981379.6310212562</v>
      </c>
    </row>
    <row r="20" ht="16" customHeight="1">
      <c r="A20" s="36" t="n">
        <v>18</v>
      </c>
      <c r="B20" s="37" t="n">
        <v>902826.762665531</v>
      </c>
      <c r="C20" s="37" t="n">
        <v>63444.28637386619</v>
      </c>
      <c r="D20" s="37" t="n">
        <v>54169.60575993186</v>
      </c>
      <c r="E20" s="37" t="n">
        <v>9274.680613934332</v>
      </c>
      <c r="F20" s="37" t="n">
        <v>893552.0820515967</v>
      </c>
      <c r="G20" s="37" t="n">
        <v>22227.3118137072</v>
      </c>
      <c r="H20" s="37" t="n">
        <v>1141997.154729591</v>
      </c>
      <c r="I20" s="37" t="n">
        <v>1035549.236781188</v>
      </c>
    </row>
    <row r="21" ht="16" customHeight="1">
      <c r="A21" s="34" t="n">
        <v>19</v>
      </c>
      <c r="B21" s="35" t="n">
        <v>893552.0820515967</v>
      </c>
      <c r="C21" s="35" t="n">
        <v>63444.28637386619</v>
      </c>
      <c r="D21" s="35" t="n">
        <v>53613.1249230958</v>
      </c>
      <c r="E21" s="35" t="n">
        <v>9831.161450770393</v>
      </c>
      <c r="F21" s="35" t="n">
        <v>883720.9206008264</v>
      </c>
      <c r="G21" s="35" t="n">
        <v>20969.16208840302</v>
      </c>
      <c r="H21" s="35" t="n">
        <v>1205441.441103457</v>
      </c>
      <c r="I21" s="35" t="n">
        <v>1089162.361704284</v>
      </c>
    </row>
    <row r="22" ht="16" customHeight="1">
      <c r="A22" s="36" t="n">
        <v>20</v>
      </c>
      <c r="B22" s="37" t="n">
        <v>883720.9206008264</v>
      </c>
      <c r="C22" s="37" t="n">
        <v>63444.28637386619</v>
      </c>
      <c r="D22" s="37" t="n">
        <v>53023.25523604958</v>
      </c>
      <c r="E22" s="37" t="n">
        <v>10421.03113781661</v>
      </c>
      <c r="F22" s="37" t="n">
        <v>873299.8894630098</v>
      </c>
      <c r="G22" s="37" t="n">
        <v>19782.22838528587</v>
      </c>
      <c r="H22" s="37" t="n">
        <v>1268885.727477324</v>
      </c>
      <c r="I22" s="37" t="n">
        <v>1142185.616940334</v>
      </c>
    </row>
    <row r="23" ht="16" customHeight="1">
      <c r="A23" s="34" t="n">
        <v>21</v>
      </c>
      <c r="B23" s="35" t="n">
        <v>873299.8894630098</v>
      </c>
      <c r="C23" s="35" t="n">
        <v>63444.28637386619</v>
      </c>
      <c r="D23" s="35" t="n">
        <v>52397.99336778058</v>
      </c>
      <c r="E23" s="35" t="n">
        <v>11046.29300608561</v>
      </c>
      <c r="F23" s="35" t="n">
        <v>862253.5964569242</v>
      </c>
      <c r="G23" s="35" t="n">
        <v>18662.47960876025</v>
      </c>
      <c r="H23" s="35" t="n">
        <v>1332330.01385119</v>
      </c>
      <c r="I23" s="35" t="n">
        <v>1194583.610308114</v>
      </c>
    </row>
    <row r="24" ht="16" customHeight="1">
      <c r="A24" s="36" t="n">
        <v>22</v>
      </c>
      <c r="B24" s="37" t="n">
        <v>862253.5964569242</v>
      </c>
      <c r="C24" s="37" t="n">
        <v>63444.28637386619</v>
      </c>
      <c r="D24" s="37" t="n">
        <v>51735.21578741545</v>
      </c>
      <c r="E24" s="37" t="n">
        <v>11709.07058645074</v>
      </c>
      <c r="F24" s="37" t="n">
        <v>850544.5258704735</v>
      </c>
      <c r="G24" s="37" t="n">
        <v>17606.11283845306</v>
      </c>
      <c r="H24" s="37" t="n">
        <v>1395774.300225056</v>
      </c>
      <c r="I24" s="37" t="n">
        <v>1246318.826095529</v>
      </c>
    </row>
    <row r="25" ht="16" customHeight="1">
      <c r="A25" s="34" t="n">
        <v>23</v>
      </c>
      <c r="B25" s="35" t="n">
        <v>850544.5258704735</v>
      </c>
      <c r="C25" s="35" t="n">
        <v>63444.28637386619</v>
      </c>
      <c r="D25" s="35" t="n">
        <v>51032.67155222841</v>
      </c>
      <c r="E25" s="35" t="n">
        <v>12411.61482163778</v>
      </c>
      <c r="F25" s="35" t="n">
        <v>838132.9110488357</v>
      </c>
      <c r="G25" s="35" t="n">
        <v>16609.54041363497</v>
      </c>
      <c r="H25" s="35" t="n">
        <v>1459218.586598922</v>
      </c>
      <c r="I25" s="35" t="n">
        <v>1297351.497647758</v>
      </c>
    </row>
    <row r="26" ht="16" customHeight="1">
      <c r="A26" s="36" t="n">
        <v>24</v>
      </c>
      <c r="B26" s="37" t="n">
        <v>838132.9110488357</v>
      </c>
      <c r="C26" s="37" t="n">
        <v>63444.28637386619</v>
      </c>
      <c r="D26" s="37" t="n">
        <v>50287.97466293014</v>
      </c>
      <c r="E26" s="37" t="n">
        <v>13156.31171093605</v>
      </c>
      <c r="F26" s="37" t="n">
        <v>824976.5993378997</v>
      </c>
      <c r="G26" s="37" t="n">
        <v>15669.37774871223</v>
      </c>
      <c r="H26" s="37" t="n">
        <v>1522662.872972789</v>
      </c>
      <c r="I26" s="37" t="n">
        <v>1347639.472310688</v>
      </c>
    </row>
    <row r="27" ht="16" customHeight="1">
      <c r="A27" s="34" t="n">
        <v>25</v>
      </c>
      <c r="B27" s="35" t="n">
        <v>824976.5993378997</v>
      </c>
      <c r="C27" s="35" t="n">
        <v>63444.28637386619</v>
      </c>
      <c r="D27" s="35" t="n">
        <v>49498.59596027398</v>
      </c>
      <c r="E27" s="35" t="n">
        <v>13945.69041359221</v>
      </c>
      <c r="F27" s="35" t="n">
        <v>811030.9089243074</v>
      </c>
      <c r="G27" s="35" t="n">
        <v>14782.43183840777</v>
      </c>
      <c r="H27" s="35" t="n">
        <v>1586107.159346655</v>
      </c>
      <c r="I27" s="35" t="n">
        <v>1397138.068270962</v>
      </c>
    </row>
    <row r="28" ht="16" customHeight="1">
      <c r="A28" s="36" t="n">
        <v>26</v>
      </c>
      <c r="B28" s="37" t="n">
        <v>811030.9089243074</v>
      </c>
      <c r="C28" s="37" t="n">
        <v>63444.28637386619</v>
      </c>
      <c r="D28" s="37" t="n">
        <v>48661.85453545844</v>
      </c>
      <c r="E28" s="37" t="n">
        <v>14782.43183840775</v>
      </c>
      <c r="F28" s="37" t="n">
        <v>796248.4770858997</v>
      </c>
      <c r="G28" s="37" t="n">
        <v>13945.69041359223</v>
      </c>
      <c r="H28" s="37" t="n">
        <v>1649551.445720521</v>
      </c>
      <c r="I28" s="37" t="n">
        <v>1445799.92280642</v>
      </c>
    </row>
    <row r="29" ht="16" customHeight="1">
      <c r="A29" s="34" t="n">
        <v>27</v>
      </c>
      <c r="B29" s="35" t="n">
        <v>796248.4770858997</v>
      </c>
      <c r="C29" s="35" t="n">
        <v>63444.28637386619</v>
      </c>
      <c r="D29" s="35" t="n">
        <v>47774.90862515398</v>
      </c>
      <c r="E29" s="35" t="n">
        <v>15669.37774871221</v>
      </c>
      <c r="F29" s="35" t="n">
        <v>780579.0993371875</v>
      </c>
      <c r="G29" s="35" t="n">
        <v>13156.31171093607</v>
      </c>
      <c r="H29" s="35" t="n">
        <v>1712995.732094388</v>
      </c>
      <c r="I29" s="35" t="n">
        <v>1493574.831431574</v>
      </c>
    </row>
    <row r="30" ht="16" customHeight="1">
      <c r="A30" s="36" t="n">
        <v>28</v>
      </c>
      <c r="B30" s="37" t="n">
        <v>780579.0993371875</v>
      </c>
      <c r="C30" s="37" t="n">
        <v>63444.28637386619</v>
      </c>
      <c r="D30" s="37" t="n">
        <v>46834.74596023124</v>
      </c>
      <c r="E30" s="37" t="n">
        <v>16609.54041363495</v>
      </c>
      <c r="F30" s="37" t="n">
        <v>763969.5589235525</v>
      </c>
      <c r="G30" s="37" t="n">
        <v>12411.6148216378</v>
      </c>
      <c r="H30" s="37" t="n">
        <v>1776440.018468254</v>
      </c>
      <c r="I30" s="37" t="n">
        <v>1540409.577391806</v>
      </c>
    </row>
    <row r="31" ht="16" customHeight="1">
      <c r="A31" s="34" t="n">
        <v>29</v>
      </c>
      <c r="B31" s="35" t="n">
        <v>763969.5589235525</v>
      </c>
      <c r="C31" s="35" t="n">
        <v>63444.28637386619</v>
      </c>
      <c r="D31" s="35" t="n">
        <v>45838.17353541315</v>
      </c>
      <c r="E31" s="35" t="n">
        <v>17606.11283845304</v>
      </c>
      <c r="F31" s="35" t="n">
        <v>746363.4460850995</v>
      </c>
      <c r="G31" s="35" t="n">
        <v>11709.07058645075</v>
      </c>
      <c r="H31" s="35" t="n">
        <v>1839884.30484212</v>
      </c>
      <c r="I31" s="35" t="n">
        <v>1586247.750927219</v>
      </c>
    </row>
    <row r="32" ht="16" customHeight="1">
      <c r="A32" s="36" t="n">
        <v>30</v>
      </c>
      <c r="B32" s="37" t="n">
        <v>746363.4460850995</v>
      </c>
      <c r="C32" s="37" t="n">
        <v>63444.28637386619</v>
      </c>
      <c r="D32" s="37" t="n">
        <v>44781.80676510597</v>
      </c>
      <c r="E32" s="37" t="n">
        <v>18662.47960876022</v>
      </c>
      <c r="F32" s="37" t="n">
        <v>727700.9664763393</v>
      </c>
      <c r="G32" s="37" t="n">
        <v>11046.29300608561</v>
      </c>
      <c r="H32" s="37" t="n">
        <v>1903328.591215986</v>
      </c>
      <c r="I32" s="37" t="n">
        <v>1631029.557692325</v>
      </c>
    </row>
    <row r="33" ht="16" customHeight="1">
      <c r="A33" s="34" t="n">
        <v>31</v>
      </c>
      <c r="B33" s="35" t="n">
        <v>727700.9664763393</v>
      </c>
      <c r="C33" s="35" t="n">
        <v>63444.28637386619</v>
      </c>
      <c r="D33" s="35" t="n">
        <v>43662.05798858035</v>
      </c>
      <c r="E33" s="35" t="n">
        <v>19782.22838528584</v>
      </c>
      <c r="F33" s="35" t="n">
        <v>707918.7380910534</v>
      </c>
      <c r="G33" s="35" t="n">
        <v>10421.03113781662</v>
      </c>
      <c r="H33" s="35" t="n">
        <v>1966772.877589853</v>
      </c>
      <c r="I33" s="35" t="n">
        <v>1674691.615680905</v>
      </c>
    </row>
    <row r="34" ht="16" customHeight="1">
      <c r="A34" s="36" t="n">
        <v>32</v>
      </c>
      <c r="B34" s="37" t="n">
        <v>707918.7380910534</v>
      </c>
      <c r="C34" s="37" t="n">
        <v>63444.28637386619</v>
      </c>
      <c r="D34" s="37" t="n">
        <v>42475.12428546321</v>
      </c>
      <c r="E34" s="37" t="n">
        <v>20969.16208840298</v>
      </c>
      <c r="F34" s="37" t="n">
        <v>686949.5760026504</v>
      </c>
      <c r="G34" s="37" t="n">
        <v>9831.161450770393</v>
      </c>
      <c r="H34" s="37" t="n">
        <v>2030217.163963719</v>
      </c>
      <c r="I34" s="37" t="n">
        <v>1717166.739966368</v>
      </c>
    </row>
    <row r="35" ht="16" customHeight="1">
      <c r="A35" s="34" t="n">
        <v>33</v>
      </c>
      <c r="B35" s="35" t="n">
        <v>686949.5760026504</v>
      </c>
      <c r="C35" s="35" t="n">
        <v>63444.28637386619</v>
      </c>
      <c r="D35" s="35" t="n">
        <v>41216.97456015903</v>
      </c>
      <c r="E35" s="35" t="n">
        <v>22227.31181370717</v>
      </c>
      <c r="F35" s="35" t="n">
        <v>664722.2641889433</v>
      </c>
      <c r="G35" s="35" t="n">
        <v>9274.680613934332</v>
      </c>
      <c r="H35" s="35" t="n">
        <v>2093661.450337585</v>
      </c>
      <c r="I35" s="35" t="n">
        <v>1758383.714526527</v>
      </c>
    </row>
    <row r="36" ht="16" customHeight="1">
      <c r="A36" s="36" t="n">
        <v>34</v>
      </c>
      <c r="B36" s="37" t="n">
        <v>664722.2641889433</v>
      </c>
      <c r="C36" s="37" t="n">
        <v>63444.28637386619</v>
      </c>
      <c r="D36" s="37" t="n">
        <v>39883.3358513366</v>
      </c>
      <c r="E36" s="37" t="n">
        <v>23560.95052252959</v>
      </c>
      <c r="F36" s="37" t="n">
        <v>641161.3136664138</v>
      </c>
      <c r="G36" s="37" t="n">
        <v>8749.698692390879</v>
      </c>
      <c r="H36" s="37" t="n">
        <v>2157105.736711451</v>
      </c>
      <c r="I36" s="37" t="n">
        <v>1798267.050377864</v>
      </c>
    </row>
    <row r="37" ht="16" customHeight="1">
      <c r="A37" s="34" t="n">
        <v>35</v>
      </c>
      <c r="B37" s="35" t="n">
        <v>641161.3136664138</v>
      </c>
      <c r="C37" s="35" t="n">
        <v>63444.28637386619</v>
      </c>
      <c r="D37" s="35" t="n">
        <v>38469.67881998482</v>
      </c>
      <c r="E37" s="35" t="n">
        <v>24974.60755388137</v>
      </c>
      <c r="F37" s="35" t="n">
        <v>616186.7061125324</v>
      </c>
      <c r="G37" s="35" t="n">
        <v>8254.432728670639</v>
      </c>
      <c r="H37" s="35" t="n">
        <v>2220550.023085318</v>
      </c>
      <c r="I37" s="35" t="n">
        <v>1836736.729197849</v>
      </c>
    </row>
    <row r="38" ht="16" customHeight="1">
      <c r="A38" s="36" t="n">
        <v>36</v>
      </c>
      <c r="B38" s="37" t="n">
        <v>616186.7061125324</v>
      </c>
      <c r="C38" s="37" t="n">
        <v>63444.28637386619</v>
      </c>
      <c r="D38" s="37" t="n">
        <v>36971.20236675195</v>
      </c>
      <c r="E38" s="37" t="n">
        <v>26473.08400711424</v>
      </c>
      <c r="F38" s="37" t="n">
        <v>589713.6221054181</v>
      </c>
      <c r="G38" s="37" t="n">
        <v>7787.200687425131</v>
      </c>
      <c r="H38" s="37" t="n">
        <v>2283994.309459184</v>
      </c>
      <c r="I38" s="37" t="n">
        <v>1873707.931564601</v>
      </c>
    </row>
    <row r="39" ht="16" customHeight="1">
      <c r="A39" s="34" t="n">
        <v>37</v>
      </c>
      <c r="B39" s="35" t="n">
        <v>589713.6221054181</v>
      </c>
      <c r="C39" s="35" t="n">
        <v>63444.28637386619</v>
      </c>
      <c r="D39" s="35" t="n">
        <v>35382.81732632509</v>
      </c>
      <c r="E39" s="35" t="n">
        <v>28061.4690475411</v>
      </c>
      <c r="F39" s="35" t="n">
        <v>561652.153057877</v>
      </c>
      <c r="G39" s="35" t="n">
        <v>7346.415742853897</v>
      </c>
      <c r="H39" s="35" t="n">
        <v>2347438.59583305</v>
      </c>
      <c r="I39" s="35" t="n">
        <v>1909090.748890926</v>
      </c>
    </row>
    <row r="40" ht="16" customHeight="1">
      <c r="A40" s="36" t="n">
        <v>38</v>
      </c>
      <c r="B40" s="37" t="n">
        <v>561652.153057877</v>
      </c>
      <c r="C40" s="37" t="n">
        <v>63444.28637386619</v>
      </c>
      <c r="D40" s="37" t="n">
        <v>33699.12918347261</v>
      </c>
      <c r="E40" s="37" t="n">
        <v>29745.15719039358</v>
      </c>
      <c r="F40" s="37" t="n">
        <v>531906.9958674834</v>
      </c>
      <c r="G40" s="37" t="n">
        <v>6930.580889484809</v>
      </c>
      <c r="H40" s="37" t="n">
        <v>2410882.882206916</v>
      </c>
      <c r="I40" s="37" t="n">
        <v>1942789.878074398</v>
      </c>
    </row>
    <row r="41" ht="16" customHeight="1">
      <c r="A41" s="34" t="n">
        <v>39</v>
      </c>
      <c r="B41" s="35" t="n">
        <v>531906.9958674834</v>
      </c>
      <c r="C41" s="35" t="n">
        <v>63444.28637386619</v>
      </c>
      <c r="D41" s="35" t="n">
        <v>31914.41975204901</v>
      </c>
      <c r="E41" s="35" t="n">
        <v>31529.86662181719</v>
      </c>
      <c r="F41" s="35" t="n">
        <v>500377.1292456663</v>
      </c>
      <c r="G41" s="35" t="n">
        <v>6538.283858004535</v>
      </c>
      <c r="H41" s="35" t="n">
        <v>2474327.168580783</v>
      </c>
      <c r="I41" s="35" t="n">
        <v>1974704.297826447</v>
      </c>
    </row>
    <row r="42" ht="16" customHeight="1">
      <c r="A42" s="36" t="n">
        <v>40</v>
      </c>
      <c r="B42" s="37" t="n">
        <v>500377.1292456663</v>
      </c>
      <c r="C42" s="37" t="n">
        <v>63444.28637386619</v>
      </c>
      <c r="D42" s="37" t="n">
        <v>30022.62775473997</v>
      </c>
      <c r="E42" s="37" t="n">
        <v>33421.65861912622</v>
      </c>
      <c r="F42" s="37" t="n">
        <v>466955.47062654</v>
      </c>
      <c r="G42" s="37" t="n">
        <v>6168.192318872203</v>
      </c>
      <c r="H42" s="37" t="n">
        <v>2537771.454954649</v>
      </c>
      <c r="I42" s="37" t="n">
        <v>2004726.925581187</v>
      </c>
    </row>
    <row r="43" ht="16" customHeight="1">
      <c r="A43" s="34" t="n">
        <v>41</v>
      </c>
      <c r="B43" s="35" t="n">
        <v>466955.47062654</v>
      </c>
      <c r="C43" s="35" t="n">
        <v>63444.28637386619</v>
      </c>
      <c r="D43" s="35" t="n">
        <v>28017.3282375924</v>
      </c>
      <c r="E43" s="35" t="n">
        <v>35426.9581362738</v>
      </c>
      <c r="F43" s="35" t="n">
        <v>431528.5124902662</v>
      </c>
      <c r="G43" s="35" t="n">
        <v>5819.049357426607</v>
      </c>
      <c r="H43" s="35" t="n">
        <v>2601215.741328515</v>
      </c>
      <c r="I43" s="35" t="n">
        <v>2032744.25381878</v>
      </c>
    </row>
    <row r="44" ht="16" customHeight="1">
      <c r="A44" s="36" t="n">
        <v>42</v>
      </c>
      <c r="B44" s="37" t="n">
        <v>431528.5124902662</v>
      </c>
      <c r="C44" s="37" t="n">
        <v>63444.28637386619</v>
      </c>
      <c r="D44" s="37" t="n">
        <v>25891.71074941597</v>
      </c>
      <c r="E44" s="37" t="n">
        <v>37552.57562445022</v>
      </c>
      <c r="F44" s="37" t="n">
        <v>393975.936865816</v>
      </c>
      <c r="G44" s="37" t="n">
        <v>5489.66920511944</v>
      </c>
      <c r="H44" s="37" t="n">
        <v>2664660.027702381</v>
      </c>
      <c r="I44" s="37" t="n">
        <v>2058635.964568196</v>
      </c>
    </row>
    <row r="45" ht="16" customHeight="1">
      <c r="A45" s="34" t="n">
        <v>43</v>
      </c>
      <c r="B45" s="35" t="n">
        <v>393975.936865816</v>
      </c>
      <c r="C45" s="35" t="n">
        <v>63444.28637386619</v>
      </c>
      <c r="D45" s="35" t="n">
        <v>23638.55621194896</v>
      </c>
      <c r="E45" s="35" t="n">
        <v>39805.73016191724</v>
      </c>
      <c r="F45" s="35" t="n">
        <v>354170.2067038988</v>
      </c>
      <c r="G45" s="35" t="n">
        <v>5178.93321237683</v>
      </c>
      <c r="H45" s="35" t="n">
        <v>2728104.314076248</v>
      </c>
      <c r="I45" s="35" t="n">
        <v>2082274.520780144</v>
      </c>
    </row>
    <row r="46" ht="16" customHeight="1">
      <c r="A46" s="36" t="n">
        <v>44</v>
      </c>
      <c r="B46" s="37" t="n">
        <v>354170.2067038988</v>
      </c>
      <c r="C46" s="37" t="n">
        <v>63444.28637386619</v>
      </c>
      <c r="D46" s="37" t="n">
        <v>21250.21240223393</v>
      </c>
      <c r="E46" s="37" t="n">
        <v>42194.07397163226</v>
      </c>
      <c r="F46" s="37" t="n">
        <v>311976.1327322665</v>
      </c>
      <c r="G46" s="37" t="n">
        <v>4885.786049412103</v>
      </c>
      <c r="H46" s="37" t="n">
        <v>2791548.600450114</v>
      </c>
      <c r="I46" s="37" t="n">
        <v>2103524.733182379</v>
      </c>
    </row>
    <row r="47" ht="16" customHeight="1">
      <c r="A47" s="34" t="n">
        <v>45</v>
      </c>
      <c r="B47" s="35" t="n">
        <v>311976.1327322665</v>
      </c>
      <c r="C47" s="35" t="n">
        <v>63444.28637386619</v>
      </c>
      <c r="D47" s="35" t="n">
        <v>18718.56796393599</v>
      </c>
      <c r="E47" s="35" t="n">
        <v>44725.7184099302</v>
      </c>
      <c r="F47" s="35" t="n">
        <v>267250.4143223363</v>
      </c>
      <c r="G47" s="35" t="n">
        <v>4609.232122086891</v>
      </c>
      <c r="H47" s="35" t="n">
        <v>2854992.88682398</v>
      </c>
      <c r="I47" s="35" t="n">
        <v>2122243.301146314</v>
      </c>
    </row>
    <row r="48" ht="16" customHeight="1">
      <c r="A48" s="36" t="n">
        <v>46</v>
      </c>
      <c r="B48" s="37" t="n">
        <v>267250.4143223363</v>
      </c>
      <c r="C48" s="37" t="n">
        <v>63444.28637386619</v>
      </c>
      <c r="D48" s="37" t="n">
        <v>16035.02485934018</v>
      </c>
      <c r="E48" s="37" t="n">
        <v>47409.26151452601</v>
      </c>
      <c r="F48" s="37" t="n">
        <v>219841.1528078103</v>
      </c>
      <c r="G48" s="37" t="n">
        <v>4348.332190648009</v>
      </c>
      <c r="H48" s="37" t="n">
        <v>2918437.173197846</v>
      </c>
      <c r="I48" s="37" t="n">
        <v>2138278.326005655</v>
      </c>
    </row>
    <row r="49" ht="16" customHeight="1">
      <c r="A49" s="34" t="n">
        <v>47</v>
      </c>
      <c r="B49" s="35" t="n">
        <v>219841.1528078103</v>
      </c>
      <c r="C49" s="35" t="n">
        <v>63444.28637386619</v>
      </c>
      <c r="D49" s="35" t="n">
        <v>13190.46916846862</v>
      </c>
      <c r="E49" s="35" t="n">
        <v>50253.81720539757</v>
      </c>
      <c r="F49" s="35" t="n">
        <v>169587.3356024128</v>
      </c>
      <c r="G49" s="35" t="n">
        <v>4102.200179856613</v>
      </c>
      <c r="H49" s="35" t="n">
        <v>2981881.459571713</v>
      </c>
      <c r="I49" s="35" t="n">
        <v>2151468.795174124</v>
      </c>
    </row>
    <row r="50" ht="16" customHeight="1">
      <c r="A50" s="36" t="n">
        <v>48</v>
      </c>
      <c r="B50" s="37" t="n">
        <v>169587.3356024128</v>
      </c>
      <c r="C50" s="37" t="n">
        <v>63444.28637386619</v>
      </c>
      <c r="D50" s="37" t="n">
        <v>10175.24013614476</v>
      </c>
      <c r="E50" s="37" t="n">
        <v>53269.04623772143</v>
      </c>
      <c r="F50" s="37" t="n">
        <v>116318.2893646913</v>
      </c>
      <c r="G50" s="37" t="n">
        <v>3870.000169676049</v>
      </c>
      <c r="H50" s="37" t="n">
        <v>3045325.745945579</v>
      </c>
      <c r="I50" s="37" t="n">
        <v>2161644.035310268</v>
      </c>
    </row>
    <row r="51" ht="16" customHeight="1">
      <c r="A51" s="34" t="n">
        <v>49</v>
      </c>
      <c r="B51" s="35" t="n">
        <v>116318.2893646913</v>
      </c>
      <c r="C51" s="35" t="n">
        <v>63444.28637386619</v>
      </c>
      <c r="D51" s="35" t="n">
        <v>6979.09736188148</v>
      </c>
      <c r="E51" s="35" t="n">
        <v>56465.18901198471</v>
      </c>
      <c r="F51" s="35" t="n">
        <v>59853.10035270662</v>
      </c>
      <c r="G51" s="35" t="n">
        <v>3650.943556298159</v>
      </c>
      <c r="H51" s="35" t="n">
        <v>3108770.032319445</v>
      </c>
      <c r="I51" s="35" t="n">
        <v>2168623.13267215</v>
      </c>
    </row>
    <row r="52" ht="16" customHeight="1">
      <c r="A52" s="36" t="n">
        <v>50</v>
      </c>
      <c r="B52" s="37" t="n">
        <v>59853.10035270662</v>
      </c>
      <c r="C52" s="37" t="n">
        <v>63444.28637386619</v>
      </c>
      <c r="D52" s="37" t="n">
        <v>3591.186021162397</v>
      </c>
      <c r="E52" s="37" t="n">
        <v>59853.1003527038</v>
      </c>
      <c r="F52" s="37" t="n">
        <v>0</v>
      </c>
      <c r="G52" s="37" t="n">
        <v>3444.286373866188</v>
      </c>
      <c r="H52" s="37" t="n">
        <v>3172214.318693311</v>
      </c>
      <c r="I52" s="37" t="n">
        <v>2172214.318693312</v>
      </c>
    </row>
    <row r="53" ht="22" customHeight="1">
      <c r="A53" s="31" t="inlineStr">
        <is>
          <t>TOTAL</t>
        </is>
      </c>
      <c r="B53" s="31" t="n"/>
      <c r="C53" s="38" t="n">
        <v>3172214.318693311</v>
      </c>
      <c r="D53" s="38" t="n">
        <v>2172214.318693312</v>
      </c>
      <c r="E53" s="38" t="n">
        <v>999999.9999999974</v>
      </c>
      <c r="F53" s="31" t="n"/>
      <c r="G53" s="38" t="n">
        <v>999999.9999999988</v>
      </c>
      <c r="H53" s="31" t="n"/>
      <c r="I53" s="31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39" t="inlineStr">
        <is>
          <t>SENSITIVITY ANALYSIS  —  Present Value vs Interest Rate &amp; Term</t>
        </is>
      </c>
    </row>
    <row r="3">
      <c r="A3" s="3" t="inlineStr">
        <is>
          <t>Table 1: First Payment vs Discount Rate  (PV=1,000,000, 50yr)</t>
        </is>
      </c>
    </row>
    <row r="4">
      <c r="A4" s="2" t="inlineStr">
        <is>
          <t>Rate</t>
        </is>
      </c>
      <c r="B4" s="2" t="inlineStr">
        <is>
          <t>First Pmt (Annual)</t>
        </is>
      </c>
      <c r="C4" s="2" t="inlineStr">
        <is>
          <t>First Pmt (Quarterly)</t>
        </is>
      </c>
      <c r="D4" s="2" t="inlineStr">
        <is>
          <t>First Pmt (Monthly)</t>
        </is>
      </c>
      <c r="E4" s="2" t="inlineStr">
        <is>
          <t>Total Paid (Annual)</t>
        </is>
      </c>
      <c r="F4" s="2" t="inlineStr">
        <is>
          <t>NPV Check</t>
        </is>
      </c>
    </row>
    <row r="5">
      <c r="A5" s="40" t="n">
        <v>0.01</v>
      </c>
      <c r="B5" s="41" t="n">
        <v>25512.73092816974</v>
      </c>
      <c r="C5" s="41" t="n">
        <v>6359.854220629204</v>
      </c>
      <c r="D5" s="41" t="n">
        <v>2118.591802814623</v>
      </c>
      <c r="E5" s="41" t="n">
        <v>1275636.546408487</v>
      </c>
      <c r="F5" s="41" t="n">
        <v>999999.9999999991</v>
      </c>
    </row>
    <row r="6">
      <c r="A6" s="42" t="n">
        <v>0.02</v>
      </c>
      <c r="B6" s="43" t="n">
        <v>31823.20970369655</v>
      </c>
      <c r="C6" s="43" t="n">
        <v>7921.384736976711</v>
      </c>
      <c r="D6" s="43" t="n">
        <v>2637.90629044252</v>
      </c>
      <c r="E6" s="43" t="n">
        <v>1591160.485184828</v>
      </c>
      <c r="F6" s="43" t="n">
        <v>999999.999999999</v>
      </c>
    </row>
    <row r="7">
      <c r="A7" s="40" t="n">
        <v>0.03</v>
      </c>
      <c r="B7" s="41" t="n">
        <v>38865.4944416755</v>
      </c>
      <c r="C7" s="41" t="n">
        <v>9669.715129166058</v>
      </c>
      <c r="D7" s="41" t="n">
        <v>3219.774979602676</v>
      </c>
      <c r="E7" s="41" t="n">
        <v>1943274.722083775</v>
      </c>
      <c r="F7" s="41" t="n">
        <v>999999.999999999</v>
      </c>
    </row>
    <row r="8">
      <c r="A8" s="42" t="n">
        <v>0.04</v>
      </c>
      <c r="B8" s="43" t="n">
        <v>46550.20044954152</v>
      </c>
      <c r="C8" s="43" t="n">
        <v>11583.27608227116</v>
      </c>
      <c r="D8" s="43" t="n">
        <v>3857.070022898758</v>
      </c>
      <c r="E8" s="43" t="n">
        <v>2327510.022477076</v>
      </c>
      <c r="F8" s="43" t="n">
        <v>999999.9999999991</v>
      </c>
    </row>
    <row r="9">
      <c r="A9" s="40" t="n">
        <v>0.05</v>
      </c>
      <c r="B9" s="41" t="n">
        <v>54776.73548573646</v>
      </c>
      <c r="C9" s="41" t="n">
        <v>13636.86290813591</v>
      </c>
      <c r="D9" s="41" t="n">
        <v>4541.387690976052</v>
      </c>
      <c r="E9" s="41" t="n">
        <v>2738836.774286823</v>
      </c>
      <c r="F9" s="41" t="n">
        <v>999999.9999999988</v>
      </c>
    </row>
    <row r="10">
      <c r="A10" s="44" t="n">
        <v>0.06</v>
      </c>
      <c r="B10" s="11" t="n">
        <v>63444.28637386619</v>
      </c>
      <c r="C10" s="11" t="n">
        <v>15804.59029968118</v>
      </c>
      <c r="D10" s="11" t="n">
        <v>5264.047938863953</v>
      </c>
      <c r="E10" s="11" t="n">
        <v>3172214.31869331</v>
      </c>
      <c r="F10" s="11" t="n">
        <v>999999.9999999988</v>
      </c>
    </row>
    <row r="11">
      <c r="A11" s="40" t="n">
        <v>0.07000000000000001</v>
      </c>
      <c r="B11" s="41" t="n">
        <v>72459.84953960766</v>
      </c>
      <c r="C11" s="41" t="n">
        <v>18062.1949577433</v>
      </c>
      <c r="D11" s="41" t="n">
        <v>6016.884541748935</v>
      </c>
      <c r="E11" s="41" t="n">
        <v>3622992.476980383</v>
      </c>
      <c r="F11" s="41" t="n">
        <v>999999.9999999991</v>
      </c>
    </row>
    <row r="12">
      <c r="A12" s="42" t="n">
        <v>0.08</v>
      </c>
      <c r="B12" s="43" t="n">
        <v>81742.85816161556</v>
      </c>
      <c r="C12" s="43" t="n">
        <v>20388.4634333227</v>
      </c>
      <c r="D12" s="43" t="n">
        <v>6792.74260698675</v>
      </c>
      <c r="E12" s="43" t="n">
        <v>4087142.908080778</v>
      </c>
      <c r="F12" s="43" t="n">
        <v>999999.9999999992</v>
      </c>
    </row>
    <row r="13">
      <c r="A13" s="40" t="n">
        <v>0.09</v>
      </c>
      <c r="B13" s="41" t="n">
        <v>91226.86808260392</v>
      </c>
      <c r="C13" s="41" t="n">
        <v>22765.84000936751</v>
      </c>
      <c r="D13" s="41" t="n">
        <v>7585.696398215836</v>
      </c>
      <c r="E13" s="41" t="n">
        <v>4561343.404130196</v>
      </c>
      <c r="F13" s="41" t="n">
        <v>999999.999999999</v>
      </c>
    </row>
    <row r="14">
      <c r="A14" s="42" t="n">
        <v>0.1</v>
      </c>
      <c r="B14" s="43" t="n">
        <v>100859.17404612</v>
      </c>
      <c r="C14" s="43" t="n">
        <v>25180.42218123421</v>
      </c>
      <c r="D14" s="43" t="n">
        <v>8391.055420752004</v>
      </c>
      <c r="E14" s="43" t="n">
        <v>5042958.702305998</v>
      </c>
      <c r="F14" s="43" t="n">
        <v>999999.9999999991</v>
      </c>
    </row>
    <row r="15">
      <c r="A15" s="40" t="n">
        <v>0.11</v>
      </c>
      <c r="B15" s="41" t="n">
        <v>110599.243340641</v>
      </c>
      <c r="C15" s="41" t="n">
        <v>27621.58569939285</v>
      </c>
      <c r="D15" s="41" t="n">
        <v>9205.240864142943</v>
      </c>
      <c r="E15" s="41" t="n">
        <v>5529962.167032052</v>
      </c>
      <c r="F15" s="41" t="n">
        <v>999999.9999999992</v>
      </c>
    </row>
    <row r="16">
      <c r="A16" s="42" t="n">
        <v>0.12</v>
      </c>
      <c r="B16" s="43" t="n">
        <v>120416.6634985339</v>
      </c>
      <c r="C16" s="43" t="n">
        <v>30081.44299278251</v>
      </c>
      <c r="D16" s="43" t="n">
        <v>10025.60272678467</v>
      </c>
      <c r="E16" s="43" t="n">
        <v>6020833.174926696</v>
      </c>
      <c r="F16" s="43" t="n">
        <v>999999.9999999988</v>
      </c>
    </row>
    <row r="19">
      <c r="A19" s="3" t="inlineStr">
        <is>
          <t>Table 2: First Payment vs Term  (PV=1,000,000, Rate=6.00%)</t>
        </is>
      </c>
    </row>
    <row r="20">
      <c r="A20" s="2" t="inlineStr">
        <is>
          <t>Term (yrs)</t>
        </is>
      </c>
      <c r="B20" s="2" t="inlineStr">
        <is>
          <t>Annual PMT</t>
        </is>
      </c>
      <c r="C20" s="2" t="inlineStr">
        <is>
          <t>Quarterly PMT</t>
        </is>
      </c>
      <c r="D20" s="2" t="inlineStr">
        <is>
          <t>Monthly PMT</t>
        </is>
      </c>
      <c r="E20" s="2" t="inlineStr">
        <is>
          <t>Total Paid</t>
        </is>
      </c>
      <c r="F20" s="2" t="inlineStr">
        <is>
          <t>Interest Paid</t>
        </is>
      </c>
    </row>
    <row r="21">
      <c r="A21" s="45" t="n">
        <v>5</v>
      </c>
      <c r="B21" s="41" t="n">
        <v>237396.4004311895</v>
      </c>
      <c r="C21" s="41" t="n">
        <v>58245.73587446661</v>
      </c>
      <c r="D21" s="41" t="n">
        <v>19332.80152942827</v>
      </c>
      <c r="E21" s="41" t="n">
        <v>1186982.002155947</v>
      </c>
      <c r="F21" s="41" t="n">
        <v>186982.0021559475</v>
      </c>
    </row>
    <row r="22">
      <c r="A22" s="46" t="n">
        <v>10</v>
      </c>
      <c r="B22" s="43" t="n">
        <v>135867.9582203837</v>
      </c>
      <c r="C22" s="43" t="n">
        <v>33427.10169727917</v>
      </c>
      <c r="D22" s="43" t="n">
        <v>11102.05019416512</v>
      </c>
      <c r="E22" s="43" t="n">
        <v>1358679.582203837</v>
      </c>
      <c r="F22" s="43" t="n">
        <v>358679.5822038373</v>
      </c>
    </row>
    <row r="23">
      <c r="A23" s="45" t="n">
        <v>15</v>
      </c>
      <c r="B23" s="41" t="n">
        <v>102962.7639553127</v>
      </c>
      <c r="C23" s="41" t="n">
        <v>25393.42742710919</v>
      </c>
      <c r="D23" s="41" t="n">
        <v>8438.568280484624</v>
      </c>
      <c r="E23" s="41" t="n">
        <v>1544441.45932969</v>
      </c>
      <c r="F23" s="41" t="n">
        <v>544441.4593296899</v>
      </c>
    </row>
    <row r="24">
      <c r="A24" s="46" t="n">
        <v>20</v>
      </c>
      <c r="B24" s="43" t="n">
        <v>87184.55697685141</v>
      </c>
      <c r="C24" s="43" t="n">
        <v>21548.32308150939</v>
      </c>
      <c r="D24" s="43" t="n">
        <v>7164.310584781728</v>
      </c>
      <c r="E24" s="43" t="n">
        <v>1743691.139537028</v>
      </c>
      <c r="F24" s="43" t="n">
        <v>743691.1395370283</v>
      </c>
    </row>
    <row r="25">
      <c r="A25" s="45" t="n">
        <v>25</v>
      </c>
      <c r="B25" s="41" t="n">
        <v>78226.71821227395</v>
      </c>
      <c r="C25" s="41" t="n">
        <v>19370.57123703329</v>
      </c>
      <c r="D25" s="41" t="n">
        <v>6443.014014855145</v>
      </c>
      <c r="E25" s="41" t="n">
        <v>1955667.955306849</v>
      </c>
      <c r="F25" s="41" t="n">
        <v>955667.9553068487</v>
      </c>
    </row>
    <row r="26">
      <c r="A26" s="46" t="n">
        <v>30</v>
      </c>
      <c r="B26" s="43" t="n">
        <v>72648.91149004721</v>
      </c>
      <c r="C26" s="43" t="n">
        <v>18018.51990409971</v>
      </c>
      <c r="D26" s="43" t="n">
        <v>5995.505251527569</v>
      </c>
      <c r="E26" s="43" t="n">
        <v>2179467.344701416</v>
      </c>
      <c r="F26" s="43" t="n">
        <v>1179467.344701416</v>
      </c>
    </row>
    <row r="27">
      <c r="A27" s="45" t="n">
        <v>35</v>
      </c>
      <c r="B27" s="41" t="n">
        <v>68973.85897966324</v>
      </c>
      <c r="C27" s="41" t="n">
        <v>17130.7385986428</v>
      </c>
      <c r="D27" s="41" t="n">
        <v>5701.897081020799</v>
      </c>
      <c r="E27" s="41" t="n">
        <v>2414085.064288213</v>
      </c>
      <c r="F27" s="41" t="n">
        <v>1414085.064288213</v>
      </c>
    </row>
    <row r="28">
      <c r="A28" s="46" t="n">
        <v>40</v>
      </c>
      <c r="B28" s="43" t="n">
        <v>66461.53592067549</v>
      </c>
      <c r="C28" s="43" t="n">
        <v>16526.17984833608</v>
      </c>
      <c r="D28" s="43" t="n">
        <v>5502.136406040532</v>
      </c>
      <c r="E28" s="43" t="n">
        <v>2658461.43682702</v>
      </c>
      <c r="F28" s="43" t="n">
        <v>1658461.43682702</v>
      </c>
    </row>
    <row r="29">
      <c r="A29" s="45" t="n">
        <v>45</v>
      </c>
      <c r="B29" s="41" t="n">
        <v>64700.4958326668</v>
      </c>
      <c r="C29" s="41" t="n">
        <v>16104.21039412824</v>
      </c>
      <c r="D29" s="41" t="n">
        <v>5362.84567523701</v>
      </c>
      <c r="E29" s="41" t="n">
        <v>2911522.312470006</v>
      </c>
      <c r="F29" s="41" t="n">
        <v>1911522.312470006</v>
      </c>
    </row>
    <row r="30">
      <c r="A30" s="16" t="n">
        <v>50</v>
      </c>
      <c r="B30" s="11" t="n">
        <v>63444.28637386619</v>
      </c>
      <c r="C30" s="11" t="n">
        <v>15804.59029968118</v>
      </c>
      <c r="D30" s="11" t="n">
        <v>5264.047938863953</v>
      </c>
      <c r="E30" s="11" t="n">
        <v>3172214.31869331</v>
      </c>
      <c r="F30" s="11" t="n">
        <v>2172214.31869331</v>
      </c>
    </row>
  </sheetData>
  <mergeCells count="3">
    <mergeCell ref="A3:F3"/>
    <mergeCell ref="A19:F1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2026-02-19T22:25:07Z</dcterms:created>
  <dcterms:modified xsi:type="dcterms:W3CDTF">2026-02-19T22:25:07Z</dcterms:modified>
</cp:coreProperties>
</file>